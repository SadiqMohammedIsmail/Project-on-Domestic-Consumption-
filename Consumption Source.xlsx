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\Mini Project\"/>
    </mc:Choice>
  </mc:AlternateContent>
  <xr:revisionPtr revIDLastSave="0" documentId="13_ncr:1_{6BCC627C-0944-4566-B3CC-D5816ED19E01}" xr6:coauthVersionLast="47" xr6:coauthVersionMax="47" xr10:uidLastSave="{00000000-0000-0000-0000-000000000000}"/>
  <bookViews>
    <workbookView xWindow="-110" yWindow="-110" windowWidth="19420" windowHeight="10300" xr2:uid="{AFA90699-6E5C-4295-B2BB-47FF90BD122D}"/>
  </bookViews>
  <sheets>
    <sheet name="Cover" sheetId="16" r:id="rId1"/>
    <sheet name="Spending Analysis" sheetId="15" r:id="rId2"/>
    <sheet name="Spending Pivots" sheetId="14" r:id="rId3"/>
    <sheet name="Consumption Detail" sheetId="13" state="hidden" r:id="rId4"/>
    <sheet name="Consumption Source" sheetId="12" r:id="rId5"/>
  </sheets>
  <definedNames>
    <definedName name="\A">#REF!</definedName>
    <definedName name="\E">#REF!</definedName>
    <definedName name="\P">#REF!</definedName>
    <definedName name="\S">#REF!</definedName>
    <definedName name="ExternalData_1" localSheetId="4" hidden="1">'Consumption Source'!$A$1:$I$42</definedName>
    <definedName name="ONE">#REF!</definedName>
    <definedName name="START">#REF!</definedName>
    <definedName name="TWO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B2" i="13"/>
  <c r="C18" i="15" s="1"/>
  <c r="C2" i="13"/>
  <c r="B5" i="15" s="1"/>
  <c r="D2" i="13"/>
  <c r="E2" i="13"/>
  <c r="F2" i="13"/>
  <c r="G2" i="13"/>
  <c r="H2" i="13"/>
  <c r="I2" i="13"/>
  <c r="H15" i="15" s="1"/>
  <c r="G15" i="15" s="1"/>
  <c r="A3" i="13"/>
  <c r="B3" i="13"/>
  <c r="C3" i="13"/>
  <c r="D3" i="13"/>
  <c r="E3" i="13"/>
  <c r="F3" i="13"/>
  <c r="G3" i="13"/>
  <c r="H3" i="13"/>
  <c r="I3" i="13"/>
  <c r="A4" i="13"/>
  <c r="B4" i="13"/>
  <c r="C4" i="13"/>
  <c r="D4" i="13"/>
  <c r="E4" i="13"/>
  <c r="F4" i="13"/>
  <c r="G4" i="13"/>
  <c r="H4" i="13"/>
  <c r="I4" i="13"/>
  <c r="A5" i="13"/>
  <c r="B5" i="13"/>
  <c r="C5" i="13"/>
  <c r="D5" i="13"/>
  <c r="E5" i="13"/>
  <c r="F5" i="13"/>
  <c r="G5" i="13"/>
  <c r="H5" i="13"/>
  <c r="I5" i="13"/>
  <c r="A6" i="13"/>
  <c r="B6" i="13"/>
  <c r="B18" i="15" s="1"/>
  <c r="C6" i="13"/>
  <c r="D6" i="13"/>
  <c r="E6" i="13"/>
  <c r="F6" i="13"/>
  <c r="G6" i="13"/>
  <c r="H6" i="13"/>
  <c r="I6" i="13"/>
  <c r="A7" i="13"/>
  <c r="B7" i="13"/>
  <c r="C7" i="13"/>
  <c r="D7" i="13"/>
  <c r="E7" i="13"/>
  <c r="F7" i="13"/>
  <c r="G7" i="13"/>
  <c r="H7" i="13"/>
  <c r="I7" i="13"/>
  <c r="A8" i="13"/>
  <c r="B8" i="13"/>
  <c r="C8" i="13"/>
  <c r="D8" i="13"/>
  <c r="E8" i="13"/>
  <c r="F8" i="13"/>
  <c r="G8" i="13"/>
  <c r="H8" i="13"/>
  <c r="I8" i="13"/>
  <c r="A9" i="13"/>
  <c r="B9" i="13"/>
  <c r="C15" i="15" s="1"/>
  <c r="C9" i="13"/>
  <c r="D9" i="13"/>
  <c r="E9" i="13"/>
  <c r="F9" i="13"/>
  <c r="G9" i="13"/>
  <c r="H9" i="13"/>
  <c r="I9" i="13"/>
  <c r="A10" i="13"/>
  <c r="B10" i="13"/>
  <c r="C10" i="13"/>
  <c r="D10" i="13"/>
  <c r="E10" i="13"/>
  <c r="F10" i="13"/>
  <c r="G10" i="13"/>
  <c r="H10" i="13"/>
  <c r="I10" i="13"/>
  <c r="A11" i="13"/>
  <c r="B11" i="13"/>
  <c r="C11" i="13"/>
  <c r="D11" i="13"/>
  <c r="E11" i="13"/>
  <c r="F11" i="13"/>
  <c r="G11" i="13"/>
  <c r="H11" i="13"/>
  <c r="I11" i="13"/>
  <c r="A12" i="13"/>
  <c r="B12" i="13"/>
  <c r="C12" i="13"/>
  <c r="D12" i="13"/>
  <c r="E12" i="13"/>
  <c r="F12" i="13"/>
  <c r="G12" i="13"/>
  <c r="H12" i="13"/>
  <c r="I12" i="13"/>
  <c r="A13" i="13"/>
  <c r="B13" i="13"/>
  <c r="C13" i="13"/>
  <c r="D13" i="13"/>
  <c r="E13" i="13"/>
  <c r="F13" i="13"/>
  <c r="G13" i="13"/>
  <c r="H13" i="13"/>
  <c r="I13" i="13"/>
  <c r="A14" i="13"/>
  <c r="B14" i="13"/>
  <c r="C14" i="13"/>
  <c r="D14" i="13"/>
  <c r="E14" i="13"/>
  <c r="F14" i="13"/>
  <c r="G14" i="13"/>
  <c r="H14" i="13"/>
  <c r="I14" i="13"/>
  <c r="A15" i="13"/>
  <c r="B15" i="13"/>
  <c r="C15" i="13"/>
  <c r="D15" i="13"/>
  <c r="E15" i="13"/>
  <c r="F15" i="13"/>
  <c r="G15" i="13"/>
  <c r="H15" i="13"/>
  <c r="I15" i="13"/>
  <c r="A16" i="13"/>
  <c r="B16" i="13"/>
  <c r="C16" i="13"/>
  <c r="D16" i="13"/>
  <c r="E16" i="13"/>
  <c r="F16" i="13"/>
  <c r="G16" i="13"/>
  <c r="H16" i="13"/>
  <c r="I16" i="13"/>
  <c r="A17" i="13"/>
  <c r="B17" i="13"/>
  <c r="C17" i="13"/>
  <c r="D17" i="13"/>
  <c r="E17" i="13"/>
  <c r="F17" i="13"/>
  <c r="G17" i="13"/>
  <c r="H17" i="13"/>
  <c r="I17" i="13"/>
  <c r="A18" i="13"/>
  <c r="B18" i="13"/>
  <c r="C18" i="13"/>
  <c r="D18" i="13"/>
  <c r="E18" i="13"/>
  <c r="F18" i="13"/>
  <c r="G18" i="13"/>
  <c r="H18" i="13"/>
  <c r="I18" i="13"/>
  <c r="A19" i="13"/>
  <c r="B19" i="13"/>
  <c r="C19" i="13"/>
  <c r="D19" i="13"/>
  <c r="E19" i="13"/>
  <c r="F19" i="13"/>
  <c r="G19" i="13"/>
  <c r="H19" i="13"/>
  <c r="I19" i="13"/>
  <c r="A20" i="13"/>
  <c r="B20" i="13"/>
  <c r="C20" i="13"/>
  <c r="D20" i="13"/>
  <c r="E20" i="13"/>
  <c r="F20" i="13"/>
  <c r="G20" i="13"/>
  <c r="H20" i="13"/>
  <c r="I20" i="13"/>
  <c r="A21" i="13"/>
  <c r="B21" i="13"/>
  <c r="C21" i="13"/>
  <c r="D21" i="13"/>
  <c r="E21" i="13"/>
  <c r="F21" i="13"/>
  <c r="G21" i="13"/>
  <c r="H21" i="13"/>
  <c r="I21" i="13"/>
  <c r="A22" i="13"/>
  <c r="B22" i="13"/>
  <c r="C22" i="13"/>
  <c r="D22" i="13"/>
  <c r="E22" i="13"/>
  <c r="F22" i="13"/>
  <c r="G22" i="13"/>
  <c r="H22" i="13"/>
  <c r="I22" i="13"/>
  <c r="A23" i="13"/>
  <c r="B23" i="13"/>
  <c r="C23" i="13"/>
  <c r="D23" i="13"/>
  <c r="E23" i="13"/>
  <c r="F23" i="13"/>
  <c r="G23" i="13"/>
  <c r="H23" i="13"/>
  <c r="I23" i="13"/>
  <c r="A24" i="13"/>
  <c r="B24" i="13"/>
  <c r="C24" i="13"/>
  <c r="D24" i="13"/>
  <c r="E24" i="13"/>
  <c r="F24" i="13"/>
  <c r="G24" i="13"/>
  <c r="H24" i="13"/>
  <c r="I24" i="13"/>
  <c r="A25" i="13"/>
  <c r="B25" i="13"/>
  <c r="C25" i="13"/>
  <c r="D25" i="13"/>
  <c r="E25" i="13"/>
  <c r="F25" i="13"/>
  <c r="G25" i="13"/>
  <c r="H25" i="13"/>
  <c r="I25" i="13"/>
  <c r="A26" i="13"/>
  <c r="B26" i="13"/>
  <c r="C26" i="13"/>
  <c r="D26" i="13"/>
  <c r="E26" i="13"/>
  <c r="F26" i="13"/>
  <c r="G26" i="13"/>
  <c r="H26" i="13"/>
  <c r="I26" i="13"/>
  <c r="A27" i="13"/>
  <c r="B27" i="13"/>
  <c r="C27" i="13"/>
  <c r="D27" i="13"/>
  <c r="E27" i="13"/>
  <c r="F27" i="13"/>
  <c r="G27" i="13"/>
  <c r="H27" i="13"/>
  <c r="I27" i="13"/>
  <c r="A28" i="13"/>
  <c r="B28" i="13"/>
  <c r="C28" i="13"/>
  <c r="D28" i="13"/>
  <c r="E28" i="13"/>
  <c r="F28" i="13"/>
  <c r="G28" i="13"/>
  <c r="H28" i="13"/>
  <c r="I28" i="13"/>
  <c r="A29" i="13"/>
  <c r="B29" i="13"/>
  <c r="C29" i="13"/>
  <c r="D29" i="13"/>
  <c r="E29" i="13"/>
  <c r="F29" i="13"/>
  <c r="G29" i="13"/>
  <c r="H29" i="13"/>
  <c r="I29" i="13"/>
  <c r="A30" i="13"/>
  <c r="B30" i="13"/>
  <c r="C30" i="13"/>
  <c r="D30" i="13"/>
  <c r="E30" i="13"/>
  <c r="F30" i="13"/>
  <c r="G30" i="13"/>
  <c r="H30" i="13"/>
  <c r="I30" i="13"/>
  <c r="A31" i="13"/>
  <c r="B31" i="13"/>
  <c r="C31" i="13"/>
  <c r="D31" i="13"/>
  <c r="E31" i="13"/>
  <c r="F31" i="13"/>
  <c r="G31" i="13"/>
  <c r="H31" i="13"/>
  <c r="I31" i="13"/>
  <c r="A32" i="13"/>
  <c r="B32" i="13"/>
  <c r="C32" i="13"/>
  <c r="D32" i="13"/>
  <c r="E32" i="13"/>
  <c r="F32" i="13"/>
  <c r="G32" i="13"/>
  <c r="H32" i="13"/>
  <c r="I32" i="13"/>
  <c r="A33" i="13"/>
  <c r="B33" i="13"/>
  <c r="C33" i="13"/>
  <c r="D33" i="13"/>
  <c r="E33" i="13"/>
  <c r="F33" i="13"/>
  <c r="G33" i="13"/>
  <c r="H33" i="13"/>
  <c r="I33" i="13"/>
  <c r="A34" i="13"/>
  <c r="B34" i="13"/>
  <c r="C34" i="13"/>
  <c r="D34" i="13"/>
  <c r="E34" i="13"/>
  <c r="F34" i="13"/>
  <c r="G34" i="13"/>
  <c r="H34" i="13"/>
  <c r="I34" i="13"/>
  <c r="A35" i="13"/>
  <c r="B35" i="13"/>
  <c r="C35" i="13"/>
  <c r="D35" i="13"/>
  <c r="E35" i="13"/>
  <c r="F35" i="13"/>
  <c r="G35" i="13"/>
  <c r="H35" i="13"/>
  <c r="I35" i="13"/>
  <c r="A36" i="13"/>
  <c r="B36" i="13"/>
  <c r="C36" i="13"/>
  <c r="D36" i="13"/>
  <c r="E36" i="13"/>
  <c r="F36" i="13"/>
  <c r="G36" i="13"/>
  <c r="H36" i="13"/>
  <c r="I36" i="13"/>
  <c r="A37" i="13"/>
  <c r="B37" i="13"/>
  <c r="C37" i="13"/>
  <c r="D37" i="13"/>
  <c r="E37" i="13"/>
  <c r="F37" i="13"/>
  <c r="G37" i="13"/>
  <c r="H37" i="13"/>
  <c r="I37" i="13"/>
  <c r="A38" i="13"/>
  <c r="B38" i="13"/>
  <c r="C38" i="13"/>
  <c r="D38" i="13"/>
  <c r="E38" i="13"/>
  <c r="F38" i="13"/>
  <c r="G38" i="13"/>
  <c r="H38" i="13"/>
  <c r="I38" i="13"/>
  <c r="A39" i="13"/>
  <c r="B39" i="13"/>
  <c r="C39" i="13"/>
  <c r="D39" i="13"/>
  <c r="E39" i="13"/>
  <c r="F39" i="13"/>
  <c r="G39" i="13"/>
  <c r="H39" i="13"/>
  <c r="I39" i="13"/>
  <c r="E18" i="15" l="1"/>
  <c r="D18" i="15"/>
  <c r="B11" i="15"/>
  <c r="C11" i="15"/>
  <c r="B12" i="15"/>
  <c r="C12" i="15"/>
  <c r="B13" i="15"/>
  <c r="C13" i="15"/>
  <c r="B14" i="15"/>
  <c r="C14" i="15"/>
  <c r="H11" i="15"/>
  <c r="G11" i="15" s="1"/>
  <c r="A23" i="15" s="1"/>
  <c r="H12" i="15"/>
  <c r="G12" i="15" s="1"/>
  <c r="B15" i="15"/>
  <c r="D15" i="15" s="1"/>
  <c r="B16" i="15"/>
  <c r="C16" i="15"/>
  <c r="H13" i="15"/>
  <c r="G13" i="15" s="1"/>
  <c r="B6" i="15"/>
  <c r="B7" i="15" s="1"/>
  <c r="B17" i="15"/>
  <c r="C17" i="15"/>
  <c r="H14" i="15"/>
  <c r="G14" i="15" s="1"/>
  <c r="E6" i="15" l="1"/>
  <c r="E7" i="15" s="1"/>
  <c r="E5" i="15"/>
  <c r="A22" i="15" s="1"/>
  <c r="E11" i="15"/>
  <c r="D11" i="15"/>
  <c r="E14" i="15"/>
  <c r="D14" i="15"/>
  <c r="E17" i="15"/>
  <c r="D17" i="15"/>
  <c r="E13" i="15"/>
  <c r="D13" i="15"/>
  <c r="A21" i="15"/>
  <c r="E12" i="15"/>
  <c r="D12" i="15"/>
  <c r="E15" i="15"/>
  <c r="E16" i="15"/>
  <c r="D1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481E80-1B50-472C-B60F-F44974CBE507}" keepAlive="1" name="Query - CONS_EXP_AT CURRENT PRICES" description="Connection to the 'CONS_EXP_AT CURRENT PRICES' query in the workbook." type="5" refreshedVersion="8" background="1" saveData="1">
    <dbPr connection="Provider=Microsoft.Mashup.OleDb.1;Data Source=$Workbook$;Location=&quot;CONS_EXP_AT CURRENT PRICES&quot;;Extended Properties=&quot;&quot;" command="SELECT * FROM [CONS_EXP_AT CURRENT PRICES]"/>
  </connection>
</connections>
</file>

<file path=xl/sharedStrings.xml><?xml version="1.0" encoding="utf-8"?>
<sst xmlns="http://schemas.openxmlformats.org/spreadsheetml/2006/main" count="200" uniqueCount="98">
  <si>
    <t>2004-05</t>
  </si>
  <si>
    <t>2005-06</t>
  </si>
  <si>
    <t>2006-07</t>
  </si>
  <si>
    <t>2007-08</t>
  </si>
  <si>
    <t>2008-09</t>
  </si>
  <si>
    <t>2009-10</t>
  </si>
  <si>
    <t>2010-11</t>
  </si>
  <si>
    <t>Item</t>
  </si>
  <si>
    <t>Group Name</t>
  </si>
  <si>
    <t>Food</t>
  </si>
  <si>
    <t>Food, Beverages &amp; Tobacco</t>
  </si>
  <si>
    <t>Cereals &amp; Bread</t>
  </si>
  <si>
    <t>Pulses</t>
  </si>
  <si>
    <t>Sugar &amp; Gur</t>
  </si>
  <si>
    <t>Oils &amp; Oilseeds</t>
  </si>
  <si>
    <t>Fruits &amp; Vegetables</t>
  </si>
  <si>
    <t>Potato &amp; Other Tubers</t>
  </si>
  <si>
    <t>Milk &amp; Milk Products</t>
  </si>
  <si>
    <t>Meat, Egg &amp; Fish</t>
  </si>
  <si>
    <t>Coffee, Tea &amp; Cocoa</t>
  </si>
  <si>
    <t>Spices</t>
  </si>
  <si>
    <t>Other Food</t>
  </si>
  <si>
    <t>Beverages</t>
  </si>
  <si>
    <t>Pan &amp; Other Intoxicants</t>
  </si>
  <si>
    <t>Tobacco &amp; Its Products</t>
  </si>
  <si>
    <t>Hotel &amp; Restaurants</t>
  </si>
  <si>
    <t>Clothing</t>
  </si>
  <si>
    <t>Clothing &amp; Footwear</t>
  </si>
  <si>
    <t>Footwear</t>
  </si>
  <si>
    <t>Gross Rent &amp; Water Charges</t>
  </si>
  <si>
    <t>Gross Rent, Fuel &amp; Power</t>
  </si>
  <si>
    <t>Fuel &amp; Power</t>
  </si>
  <si>
    <t>Electricity</t>
  </si>
  <si>
    <t>Liquified Petroleum Gas</t>
  </si>
  <si>
    <t>Kerosene Oil</t>
  </si>
  <si>
    <t>Other Fuel</t>
  </si>
  <si>
    <t>Furniture, Furnishing &amp; Repair</t>
  </si>
  <si>
    <t>Furniture, Furnishings, Appliances &amp; Services</t>
  </si>
  <si>
    <t>Refrigerator, Cooking, Washing Appliances Etc</t>
  </si>
  <si>
    <t>Glassware, Tableware &amp; Utensils</t>
  </si>
  <si>
    <t>Other Goods</t>
  </si>
  <si>
    <t>Services</t>
  </si>
  <si>
    <t>Medical Care &amp; Health Services</t>
  </si>
  <si>
    <t>Personal Transport Equipment</t>
  </si>
  <si>
    <t>Transport &amp; Communication</t>
  </si>
  <si>
    <t>Operation Of Personal  Transport Equipment</t>
  </si>
  <si>
    <t>Purchase Of Transport Services</t>
  </si>
  <si>
    <t>Communication</t>
  </si>
  <si>
    <t>Equipment, Paper &amp; Stationery</t>
  </si>
  <si>
    <t>Recreation, Education &amp; Cultural Services</t>
  </si>
  <si>
    <t>Recreation &amp; Cultural Services</t>
  </si>
  <si>
    <t>Education</t>
  </si>
  <si>
    <t>Personal Care &amp; Effects</t>
  </si>
  <si>
    <t>Miscellaneous Goods &amp; Services</t>
  </si>
  <si>
    <t>Personal Goods N.E.C.</t>
  </si>
  <si>
    <t>Other Miscellaneous Services</t>
  </si>
  <si>
    <t>Private Final Consumption Expenditure In Domestic Market</t>
  </si>
  <si>
    <t>All Group</t>
  </si>
  <si>
    <t>Sum of 2004-05</t>
  </si>
  <si>
    <t>Sum of 2005-06</t>
  </si>
  <si>
    <t>Sum of 2006-07</t>
  </si>
  <si>
    <t>Sum of 2007-08</t>
  </si>
  <si>
    <t>Sum of 2008-09</t>
  </si>
  <si>
    <t>Sum of 2009-10</t>
  </si>
  <si>
    <t>Sum of 2010-11</t>
  </si>
  <si>
    <t>CONSUMPTION SPENDING PIVOTTABLES</t>
  </si>
  <si>
    <t>SPENDING BY GROUP AND YEAR</t>
  </si>
  <si>
    <t>SPENDING BY ITEM — 2010-11</t>
  </si>
  <si>
    <t>CONSUMPTION SPENDING ANALYSIS</t>
  </si>
  <si>
    <t>Basic analysis of detailed goods and services expenditure at current prices, 2004-05 to 2010-11.</t>
  </si>
  <si>
    <t>OVERALL SPENDING</t>
  </si>
  <si>
    <t>2004-05 total</t>
  </si>
  <si>
    <t>2010-11 total</t>
  </si>
  <si>
    <t>Overall growth</t>
  </si>
  <si>
    <t>LEADING GROUP — 2010-11</t>
  </si>
  <si>
    <t>Largest group</t>
  </si>
  <si>
    <t>Group spend</t>
  </si>
  <si>
    <t>Share of total</t>
  </si>
  <si>
    <t>GROUP COMPARISON</t>
  </si>
  <si>
    <t>Group</t>
  </si>
  <si>
    <t>Increase</t>
  </si>
  <si>
    <t>Growth</t>
  </si>
  <si>
    <t>TOP 5 ITEMS — 2010-11</t>
  </si>
  <si>
    <t>Spend</t>
  </si>
  <si>
    <t>KEY FINDINGS</t>
  </si>
  <si>
    <t>CONSUMPTION EXPENDITURE REPORT</t>
  </si>
  <si>
    <t>Pivot-based analysis of spending on goods and services at current prices.</t>
  </si>
  <si>
    <t>CONTENTS</t>
  </si>
  <si>
    <t>PURPOSE</t>
  </si>
  <si>
    <t>Spending Analysis</t>
  </si>
  <si>
    <t>Headline totals, group comparisons, top items, and key findings.</t>
  </si>
  <si>
    <t>Spending Pivots</t>
  </si>
  <si>
    <t>PivotTables for group trends and 2010-11 item spending.</t>
  </si>
  <si>
    <t>Consumption Detail</t>
  </si>
  <si>
    <t>Consumption Source</t>
  </si>
  <si>
    <t>Original consumption expenditure dataset.</t>
  </si>
  <si>
    <t>Live linked detail rows used by the PivotTables, excluding nested aggregate rows.</t>
  </si>
  <si>
    <t>Group trends across seven years and item-level spending for 2010-11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</si>
</sst>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Courier"/>
    </font>
    <font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444444"/>
      <name val="Aptos Narrow"/>
      <family val="2"/>
    </font>
    <font>
      <b/>
      <sz val="10"/>
      <color rgb="FF666666"/>
      <name val="Aptos Narrow"/>
      <family val="2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3" fontId="0" fillId="0" borderId="0" xfId="0" applyNumberFormat="1"/>
    <xf numFmtId="0" fontId="1" fillId="0" borderId="0" xfId="0" applyFont="1"/>
    <xf numFmtId="0" fontId="2" fillId="2" borderId="0" xfId="0" applyFont="1" applyFill="1"/>
    <xf numFmtId="3" fontId="1" fillId="0" borderId="0" xfId="0" applyNumberFormat="1" applyFont="1"/>
    <xf numFmtId="0" fontId="2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/>
    <xf numFmtId="0" fontId="3" fillId="0" borderId="1" xfId="0" applyFont="1" applyBorder="1" applyAlignment="1">
      <alignment wrapText="1"/>
    </xf>
    <xf numFmtId="3" fontId="1" fillId="0" borderId="1" xfId="0" applyNumberFormat="1" applyFont="1" applyBorder="1"/>
    <xf numFmtId="164" fontId="1" fillId="0" borderId="1" xfId="0" applyNumberFormat="1" applyFont="1" applyBorder="1"/>
    <xf numFmtId="3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pivotButton="1" applyFont="1" applyBorder="1"/>
    <xf numFmtId="0" fontId="2" fillId="2" borderId="1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3" borderId="1" xfId="0" applyFont="1" applyFill="1" applyBorder="1"/>
    <xf numFmtId="0" fontId="1" fillId="0" borderId="1" xfId="0" applyFont="1" applyBorder="1" applyAlignment="1">
      <alignment wrapText="1"/>
    </xf>
    <xf numFmtId="0" fontId="2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3" borderId="0" xfId="0" applyFont="1" applyFill="1"/>
  </cellXfs>
  <cellStyles count="1">
    <cellStyle name="Normal" xfId="0" builtinId="0"/>
  </cellStyles>
  <dxfs count="54"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  <numFmt numFmtId="3" formatCode="#,##0"/>
    </dxf>
    <dxf>
      <font>
        <sz val="10"/>
        <name val="Aptos Narrow"/>
      </font>
    </dxf>
    <dxf>
      <font>
        <sz val="10"/>
        <name val="Aptos Narrow"/>
      </font>
    </dxf>
    <dxf>
      <font>
        <sz val="10"/>
        <name val="Aptos Narrow"/>
      </font>
    </dxf>
    <dxf>
      <font>
        <b/>
        <sz val="10"/>
        <color rgb="FFFFFFFF"/>
        <name val="Aptos Narrow"/>
      </font>
      <fill>
        <patternFill patternType="solid">
          <fgColor indexed="64"/>
          <bgColor rgb="FF17365D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diq Mohammed" refreshedDate="46259.523235995373" createdVersion="8" refreshedVersion="8" minRefreshableVersion="3" recordCount="38" xr:uid="{DE1A8834-3E6A-43D7-A0D3-8464C83BF303}">
  <cacheSource type="worksheet">
    <worksheetSource name="ConsumptionDetail"/>
  </cacheSource>
  <cacheFields count="9">
    <cacheField name="Item" numFmtId="0">
      <sharedItems count="39">
        <s v="Cereals &amp; Bread"/>
        <s v="Pulses"/>
        <s v="Sugar &amp; Gur"/>
        <s v="Oils &amp; Oilseeds"/>
        <s v="Fruits &amp; Vegetables"/>
        <s v="Potato &amp; Other Tubers"/>
        <s v="Milk &amp; Milk Products"/>
        <s v="Meat, Egg &amp; Fish"/>
        <s v="Coffee, Tea &amp; Cocoa"/>
        <s v="Spices"/>
        <s v="Other Food"/>
        <s v="Beverages"/>
        <s v="Pan &amp; Other Intoxicants"/>
        <s v="Tobacco &amp; Its Products"/>
        <s v="Hotel &amp; Restaurants"/>
        <s v="Clothing"/>
        <s v="Footwear"/>
        <s v="Gross Rent &amp; Water Charges"/>
        <s v="Electricity"/>
        <s v="Liquified Petroleum Gas"/>
        <s v="Kerosene Oil"/>
        <s v="Other Fuel"/>
        <s v="Furniture, Furnishing &amp; Repair"/>
        <s v="Refrigerator, Cooking, Washing Appliances Etc"/>
        <s v="Glassware, Tableware &amp; Utensils"/>
        <s v="Other Goods"/>
        <s v="Services"/>
        <s v="Medical Care &amp; Health Services"/>
        <s v="Personal Transport Equipment"/>
        <s v="Operation Of Personal  Transport Equipment"/>
        <s v="Purchase Of Transport Services"/>
        <s v="Communication"/>
        <s v="Equipment, Paper &amp; Stationery"/>
        <s v="Recreation &amp; Cultural Services"/>
        <s v="Education"/>
        <s v="Personal Care &amp; Effects"/>
        <s v="Personal Goods N.E.C."/>
        <s v="Other Miscellaneous Services"/>
        <s v="Fuel &amp; Power" u="1"/>
      </sharedItems>
    </cacheField>
    <cacheField name="Group Name" numFmtId="0">
      <sharedItems count="8">
        <s v="Food, Beverages &amp; Tobacco"/>
        <s v="Clothing &amp; Footwear"/>
        <s v="Gross Rent, Fuel &amp; Power"/>
        <s v="Furniture, Furnishings, Appliances &amp; Services"/>
        <s v="Medical Care &amp; Health Services"/>
        <s v="Transport &amp; Communication"/>
        <s v="Recreation, Education &amp; Cultural Services"/>
        <s v="Miscellaneous Goods &amp; Services"/>
      </sharedItems>
    </cacheField>
    <cacheField name="2004-05" numFmtId="3">
      <sharedItems containsSemiMixedTypes="0" containsString="0" containsNumber="1" minValue="2136" maxValue="181949"/>
    </cacheField>
    <cacheField name="2005-06" numFmtId="3">
      <sharedItems containsSemiMixedTypes="0" containsString="0" containsNumber="1" minValue="1419" maxValue="198190"/>
    </cacheField>
    <cacheField name="2006-07" numFmtId="3">
      <sharedItems containsSemiMixedTypes="0" containsString="0" containsNumber="1" minValue="1567" maxValue="225418"/>
    </cacheField>
    <cacheField name="2007-08" numFmtId="3">
      <sharedItems containsSemiMixedTypes="0" containsString="0" containsNumber="1" minValue="1766" maxValue="265150"/>
    </cacheField>
    <cacheField name="2008-09" numFmtId="3">
      <sharedItems containsSemiMixedTypes="0" containsString="0" containsNumber="1" minValue="2215" maxValue="317904"/>
    </cacheField>
    <cacheField name="2009-10" numFmtId="3">
      <sharedItems containsSemiMixedTypes="0" containsString="0" containsNumber="1" minValue="2124" maxValue="357704"/>
    </cacheField>
    <cacheField name="2010-11" numFmtId="3">
      <sharedItems containsSemiMixedTypes="0" containsString="0" containsNumber="1" minValue="2627" maxValue="440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n v="165490.30376000001"/>
    <n v="180320.21681000001"/>
    <n v="202451.81974000001"/>
    <n v="229799.10665999999"/>
    <n v="249839.2873"/>
    <n v="251207.67434"/>
    <n v="292631.32893000002"/>
  </r>
  <r>
    <x v="1"/>
    <x v="0"/>
    <n v="15872.696236"/>
    <n v="19014.783187000001"/>
    <n v="23713.180259000001"/>
    <n v="26452.893338000002"/>
    <n v="29049.712697999999"/>
    <n v="33203.325664000004"/>
    <n v="40610.671072999998"/>
  </r>
  <r>
    <x v="2"/>
    <x v="0"/>
    <n v="33339"/>
    <n v="36852"/>
    <n v="38589"/>
    <n v="37627"/>
    <n v="45834"/>
    <n v="64235"/>
    <n v="71859"/>
  </r>
  <r>
    <x v="3"/>
    <x v="0"/>
    <n v="37778"/>
    <n v="34306"/>
    <n v="33593"/>
    <n v="41570"/>
    <n v="45257"/>
    <n v="44219"/>
    <n v="55158"/>
  </r>
  <r>
    <x v="4"/>
    <x v="0"/>
    <n v="150855"/>
    <n v="171411"/>
    <n v="189724"/>
    <n v="216603"/>
    <n v="241989"/>
    <n v="268130"/>
    <n v="327152"/>
  </r>
  <r>
    <x v="5"/>
    <x v="0"/>
    <n v="17046"/>
    <n v="20707"/>
    <n v="21309"/>
    <n v="30172"/>
    <n v="18839"/>
    <n v="50144"/>
    <n v="40765"/>
  </r>
  <r>
    <x v="6"/>
    <x v="0"/>
    <n v="134069"/>
    <n v="143542"/>
    <n v="156950"/>
    <n v="177822"/>
    <n v="208124"/>
    <n v="246311"/>
    <n v="285703"/>
  </r>
  <r>
    <x v="7"/>
    <x v="0"/>
    <n v="62424"/>
    <n v="70150"/>
    <n v="79645"/>
    <n v="88963"/>
    <n v="101087"/>
    <n v="121532"/>
    <n v="145361"/>
  </r>
  <r>
    <x v="8"/>
    <x v="0"/>
    <n v="6153"/>
    <n v="6420"/>
    <n v="6768"/>
    <n v="7252"/>
    <n v="8478"/>
    <n v="10608"/>
    <n v="9927"/>
  </r>
  <r>
    <x v="9"/>
    <x v="0"/>
    <n v="18213"/>
    <n v="19968"/>
    <n v="21887"/>
    <n v="23985"/>
    <n v="26280"/>
    <n v="28789"/>
    <n v="31531"/>
  </r>
  <r>
    <x v="10"/>
    <x v="0"/>
    <n v="9124"/>
    <n v="11545"/>
    <n v="14089"/>
    <n v="14279"/>
    <n v="15734"/>
    <n v="20645"/>
    <n v="23514"/>
  </r>
  <r>
    <x v="11"/>
    <x v="0"/>
    <n v="27049"/>
    <n v="32271"/>
    <n v="42562"/>
    <n v="56176"/>
    <n v="61457"/>
    <n v="62158"/>
    <n v="71819"/>
  </r>
  <r>
    <x v="12"/>
    <x v="0"/>
    <n v="12148"/>
    <n v="13616"/>
    <n v="15948"/>
    <n v="16757"/>
    <n v="17056"/>
    <n v="17792"/>
    <n v="19559"/>
  </r>
  <r>
    <x v="13"/>
    <x v="0"/>
    <n v="42341"/>
    <n v="46773"/>
    <n v="49171"/>
    <n v="49451"/>
    <n v="65848"/>
    <n v="72288"/>
    <n v="82634"/>
  </r>
  <r>
    <x v="14"/>
    <x v="0"/>
    <n v="37598"/>
    <n v="49660"/>
    <n v="60559"/>
    <n v="72074"/>
    <n v="75741"/>
    <n v="81053"/>
    <n v="96310"/>
  </r>
  <r>
    <x v="15"/>
    <x v="1"/>
    <n v="108477"/>
    <n v="127098"/>
    <n v="162343"/>
    <n v="166799"/>
    <n v="181402"/>
    <n v="218184"/>
    <n v="260361"/>
  </r>
  <r>
    <x v="16"/>
    <x v="1"/>
    <n v="19352"/>
    <n v="24045"/>
    <n v="27250"/>
    <n v="37840"/>
    <n v="39259"/>
    <n v="48319"/>
    <n v="51955"/>
  </r>
  <r>
    <x v="17"/>
    <x v="2"/>
    <n v="181949"/>
    <n v="198190"/>
    <n v="225418"/>
    <n v="265150"/>
    <n v="317904"/>
    <n v="357704"/>
    <n v="425533"/>
  </r>
  <r>
    <x v="18"/>
    <x v="2"/>
    <n v="18666"/>
    <n v="19384"/>
    <n v="22065"/>
    <n v="24572"/>
    <n v="26612"/>
    <n v="30087"/>
    <n v="34483"/>
  </r>
  <r>
    <x v="19"/>
    <x v="2"/>
    <n v="16288"/>
    <n v="17941"/>
    <n v="18615"/>
    <n v="21506"/>
    <n v="21555"/>
    <n v="24221"/>
    <n v="27217"/>
  </r>
  <r>
    <x v="20"/>
    <x v="2"/>
    <n v="8738"/>
    <n v="8865"/>
    <n v="8804"/>
    <n v="8674"/>
    <n v="8622"/>
    <n v="8773"/>
    <n v="8927"/>
  </r>
  <r>
    <x v="21"/>
    <x v="2"/>
    <n v="40793"/>
    <n v="46458"/>
    <n v="54151"/>
    <n v="60135"/>
    <n v="69426"/>
    <n v="76761"/>
    <n v="84731"/>
  </r>
  <r>
    <x v="22"/>
    <x v="3"/>
    <n v="8404"/>
    <n v="10101"/>
    <n v="10954"/>
    <n v="12122"/>
    <n v="13537"/>
    <n v="18929"/>
    <n v="22012"/>
  </r>
  <r>
    <x v="23"/>
    <x v="3"/>
    <n v="13409"/>
    <n v="17518"/>
    <n v="22239"/>
    <n v="27905"/>
    <n v="32903"/>
    <n v="35414"/>
    <n v="44838"/>
  </r>
  <r>
    <x v="24"/>
    <x v="3"/>
    <n v="15462"/>
    <n v="17362"/>
    <n v="22818"/>
    <n v="29309"/>
    <n v="36300"/>
    <n v="38033"/>
    <n v="43156"/>
  </r>
  <r>
    <x v="25"/>
    <x v="3"/>
    <n v="17067"/>
    <n v="19773"/>
    <n v="24001"/>
    <n v="27186"/>
    <n v="29784"/>
    <n v="33813"/>
    <n v="38008"/>
  </r>
  <r>
    <x v="26"/>
    <x v="3"/>
    <n v="10832"/>
    <n v="12054"/>
    <n v="13801"/>
    <n v="15747"/>
    <n v="18446"/>
    <n v="22296"/>
    <n v="26408"/>
  </r>
  <r>
    <x v="27"/>
    <x v="4"/>
    <n v="95560"/>
    <n v="105244"/>
    <n v="115900"/>
    <n v="127648"/>
    <n v="140595"/>
    <n v="154872"/>
    <n v="170599"/>
  </r>
  <r>
    <x v="28"/>
    <x v="5"/>
    <n v="35995"/>
    <n v="33075"/>
    <n v="38915"/>
    <n v="42151"/>
    <n v="46189"/>
    <n v="60306"/>
    <n v="79441"/>
  </r>
  <r>
    <x v="29"/>
    <x v="5"/>
    <n v="124528"/>
    <n v="143977"/>
    <n v="164738"/>
    <n v="169507"/>
    <n v="189508"/>
    <n v="194413"/>
    <n v="236681"/>
  </r>
  <r>
    <x v="30"/>
    <x v="5"/>
    <n v="180040"/>
    <n v="197637"/>
    <n v="225082"/>
    <n v="247159"/>
    <n v="276053"/>
    <n v="307516"/>
    <n v="357111"/>
  </r>
  <r>
    <x v="31"/>
    <x v="5"/>
    <n v="31237"/>
    <n v="36925"/>
    <n v="43656"/>
    <n v="50806"/>
    <n v="58341"/>
    <n v="68016"/>
    <n v="74508"/>
  </r>
  <r>
    <x v="32"/>
    <x v="6"/>
    <n v="22522"/>
    <n v="27292"/>
    <n v="31994"/>
    <n v="38338"/>
    <n v="44277"/>
    <n v="48934"/>
    <n v="55582"/>
  </r>
  <r>
    <x v="33"/>
    <x v="6"/>
    <n v="2136"/>
    <n v="1419"/>
    <n v="1567"/>
    <n v="1766"/>
    <n v="2215"/>
    <n v="2124"/>
    <n v="2627"/>
  </r>
  <r>
    <x v="34"/>
    <x v="6"/>
    <n v="32555"/>
    <n v="36762"/>
    <n v="40798"/>
    <n v="44539"/>
    <n v="48624"/>
    <n v="53088"/>
    <n v="57963"/>
  </r>
  <r>
    <x v="35"/>
    <x v="7"/>
    <n v="52082"/>
    <n v="60506"/>
    <n v="70539"/>
    <n v="82047"/>
    <n v="98144"/>
    <n v="121937"/>
    <n v="148724"/>
  </r>
  <r>
    <x v="36"/>
    <x v="7"/>
    <n v="30445"/>
    <n v="35587"/>
    <n v="41438"/>
    <n v="47269"/>
    <n v="57653"/>
    <n v="70112"/>
    <n v="73890"/>
  </r>
  <r>
    <x v="37"/>
    <x v="7"/>
    <n v="89555"/>
    <n v="105768"/>
    <n v="144643"/>
    <n v="213236"/>
    <n v="289983"/>
    <n v="355869"/>
    <n v="440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E47BB-0BEA-44F7-9079-6654DBF61176}" name="GroupSpendingTrend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4:H12" firstHeaderRow="0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1"/>
        <item x="0"/>
        <item x="3"/>
        <item x="2"/>
        <item x="4"/>
        <item x="7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2004-05" fld="2" baseField="0" baseItem="0"/>
    <dataField name="Sum of 2005-06" fld="3" baseField="0" baseItem="0"/>
    <dataField name="Sum of 2006-07" fld="4" baseField="0" baseItem="0"/>
    <dataField name="Sum of 2007-08" fld="5" baseField="0" baseItem="0"/>
    <dataField name="Sum of 2008-09" fld="6" baseField="0" baseItem="0"/>
    <dataField name="Sum of 2009-10" fld="7" baseField="0" baseItem="0"/>
    <dataField name="Sum of 2010-11" fld="8" baseField="0" baseItem="0"/>
  </dataFields>
  <formats count="16"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outline="0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CD711-94DE-4B1E-8E90-85AA4738C4BB}" name="ItemSpendingLatestYear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8:B56" firstHeaderRow="1" firstDataRow="1" firstDataCol="1"/>
  <pivotFields count="9">
    <pivotField axis="axisRow" compact="0" outline="0" showAll="0" defaultSubtotal="0">
      <items count="39">
        <item x="11"/>
        <item x="0"/>
        <item x="15"/>
        <item x="8"/>
        <item x="31"/>
        <item x="34"/>
        <item x="18"/>
        <item x="32"/>
        <item x="16"/>
        <item x="4"/>
        <item m="1" x="38"/>
        <item x="22"/>
        <item x="24"/>
        <item x="17"/>
        <item x="14"/>
        <item x="20"/>
        <item x="19"/>
        <item x="7"/>
        <item x="27"/>
        <item x="6"/>
        <item x="3"/>
        <item x="29"/>
        <item x="10"/>
        <item x="21"/>
        <item x="25"/>
        <item x="37"/>
        <item x="12"/>
        <item x="35"/>
        <item x="36"/>
        <item x="28"/>
        <item x="5"/>
        <item x="1"/>
        <item x="30"/>
        <item x="33"/>
        <item x="23"/>
        <item x="26"/>
        <item x="9"/>
        <item x="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</rowItems>
  <colItems count="1">
    <i/>
  </colItems>
  <dataFields count="1">
    <dataField name="Sum of 2010-11" fld="8" baseField="0" baseItem="0" numFmtId="3"/>
  </dataFields>
  <formats count="16">
    <format dxfId="53">
      <pivotArea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0" count="0"/>
        </references>
      </pivotArea>
    </format>
    <format dxfId="38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D5D9E7-3DF4-4915-BE99-1428822935EB}" autoFormatId="16" applyNumberFormats="0" applyBorderFormats="0" applyFontFormats="0" applyPatternFormats="0" applyAlignmentFormats="0" applyWidthHeightFormats="0">
  <queryTableRefresh nextId="10">
    <queryTableFields count="9">
      <queryTableField id="1" name="Item" tableColumnId="1"/>
      <queryTableField id="2" name="Group Name" tableColumnId="2"/>
      <queryTableField id="3" name="2004-05" tableColumnId="3"/>
      <queryTableField id="4" name="2005-06" tableColumnId="4"/>
      <queryTableField id="5" name="2006-07" tableColumnId="5"/>
      <queryTableField id="6" name="2007-08" tableColumnId="6"/>
      <queryTableField id="7" name="2008-09" tableColumnId="7"/>
      <queryTableField id="8" name="2009-10" tableColumnId="8"/>
      <queryTableField id="9" name="2010-11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8A4E0-2BB0-4CF1-BD95-A9596CFE1612}" name="ConsumptionDetail" displayName="ConsumptionDetail" ref="A1:I39" totalsRowShown="0" headerRowDxfId="21" dataDxfId="20">
  <autoFilter ref="A1:I39" xr:uid="{FF48A4E0-2BB0-4CF1-BD95-A9596CFE1612}"/>
  <tableColumns count="9">
    <tableColumn id="1" xr3:uid="{384E921D-AFDD-4FE8-9F3A-2B1059497FF4}" name="Item" dataDxfId="19">
      <calculatedColumnFormula>'Consumption Source'!A3</calculatedColumnFormula>
    </tableColumn>
    <tableColumn id="2" xr3:uid="{D82EE4BE-5552-4D3B-AB15-E9CFB490D3F6}" name="Group Name" dataDxfId="18">
      <calculatedColumnFormula>'Consumption Source'!B3</calculatedColumnFormula>
    </tableColumn>
    <tableColumn id="3" xr3:uid="{8A397EFD-A541-499A-BE81-B44DC7DA7F6D}" name="2004-05" dataDxfId="17">
      <calculatedColumnFormula>'Consumption Source'!C3</calculatedColumnFormula>
    </tableColumn>
    <tableColumn id="4" xr3:uid="{ADB3766A-9C42-4D17-8C43-A7A7A4D654CA}" name="2005-06" dataDxfId="16">
      <calculatedColumnFormula>'Consumption Source'!D3</calculatedColumnFormula>
    </tableColumn>
    <tableColumn id="5" xr3:uid="{4CDF7A86-E3B5-4D28-80F0-E7BD7C162AE4}" name="2006-07" dataDxfId="15">
      <calculatedColumnFormula>'Consumption Source'!E3</calculatedColumnFormula>
    </tableColumn>
    <tableColumn id="6" xr3:uid="{BDEF808F-2A28-4C47-B7A1-6F063ECE49B5}" name="2007-08" dataDxfId="14">
      <calculatedColumnFormula>'Consumption Source'!F3</calculatedColumnFormula>
    </tableColumn>
    <tableColumn id="7" xr3:uid="{EB13C2DA-091E-451E-BAEC-6AB7D1224133}" name="2008-09" dataDxfId="13">
      <calculatedColumnFormula>'Consumption Source'!G3</calculatedColumnFormula>
    </tableColumn>
    <tableColumn id="8" xr3:uid="{90AC6C10-5C29-4A9C-867C-E18AABC7F1D5}" name="2009-10" dataDxfId="12">
      <calculatedColumnFormula>'Consumption Source'!H3</calculatedColumnFormula>
    </tableColumn>
    <tableColumn id="9" xr3:uid="{F23F5661-6A4F-4B6B-93CE-1B29712A5D41}" name="2010-11" dataDxfId="11">
      <calculatedColumnFormula>'Consumption Source'!I3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34D61-04DD-4E81-AEA9-2F7B1C695041}" name="CONS_EXP_AT_CURRENT_PRICES" displayName="CONS_EXP_AT_CURRENT_PRICES" ref="A1:I42" tableType="queryTable" totalsRowShown="0" headerRowDxfId="10" dataDxfId="9">
  <autoFilter ref="A1:I42" xr:uid="{46234D61-04DD-4E81-AEA9-2F7B1C695041}"/>
  <tableColumns count="9">
    <tableColumn id="1" xr3:uid="{A899DADF-E211-4AFD-87BC-258AB1421E9A}" uniqueName="1" name="Item" queryTableFieldId="1" dataDxfId="8"/>
    <tableColumn id="2" xr3:uid="{885C6E98-B07F-47F5-87D6-2AE03712105B}" uniqueName="2" name="Group Name" queryTableFieldId="2" dataDxfId="7"/>
    <tableColumn id="3" xr3:uid="{E8AD90C5-61BE-40D5-A221-F8B0B879DF85}" uniqueName="3" name="2004-05" queryTableFieldId="3" dataDxfId="6"/>
    <tableColumn id="4" xr3:uid="{2ABD413E-97BB-4C54-A2DC-B49C321734E8}" uniqueName="4" name="2005-06" queryTableFieldId="4" dataDxfId="5"/>
    <tableColumn id="5" xr3:uid="{D7D780B6-FC3D-42B0-9378-CC266FF65FFC}" uniqueName="5" name="2006-07" queryTableFieldId="5" dataDxfId="4"/>
    <tableColumn id="6" xr3:uid="{94362264-DFF6-4A1B-A128-687A8A498029}" uniqueName="6" name="2007-08" queryTableFieldId="6" dataDxfId="3"/>
    <tableColumn id="7" xr3:uid="{24B32E3F-E669-439F-9339-787A01AB3D70}" uniqueName="7" name="2008-09" queryTableFieldId="7" dataDxfId="2"/>
    <tableColumn id="8" xr3:uid="{725EAC3E-AA76-4292-B14B-AC868BE424D5}" uniqueName="8" name="2009-10" queryTableFieldId="8" dataDxfId="1"/>
    <tableColumn id="9" xr3:uid="{BBB60222-5ADD-4B22-8D0B-C7E07958E4A0}" uniqueName="9" name="2010-11" queryTableFieldId="9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9FA7-8AE6-42F6-A7B4-66FDC3A2339E}">
  <dimension ref="A1:B8"/>
  <sheetViews>
    <sheetView tabSelected="1" workbookViewId="0">
      <selection sqref="A1:B1"/>
    </sheetView>
  </sheetViews>
  <sheetFormatPr defaultRowHeight="12.5" x14ac:dyDescent="0.25"/>
  <cols>
    <col min="1" max="1" width="33.33203125" customWidth="1"/>
    <col min="2" max="2" width="58.33203125" customWidth="1"/>
  </cols>
  <sheetData>
    <row r="1" spans="1:2" ht="32" customHeight="1" x14ac:dyDescent="0.3">
      <c r="A1" s="15" t="s">
        <v>85</v>
      </c>
      <c r="B1" s="16"/>
    </row>
    <row r="2" spans="1:2" ht="13" x14ac:dyDescent="0.3">
      <c r="A2" s="17" t="s">
        <v>86</v>
      </c>
      <c r="B2" s="18"/>
    </row>
    <row r="3" spans="1:2" ht="13" x14ac:dyDescent="0.3">
      <c r="A3" s="7"/>
      <c r="B3" s="7"/>
    </row>
    <row r="4" spans="1:2" ht="13" x14ac:dyDescent="0.3">
      <c r="A4" s="8" t="s">
        <v>87</v>
      </c>
      <c r="B4" s="8" t="s">
        <v>88</v>
      </c>
    </row>
    <row r="5" spans="1:2" ht="13" x14ac:dyDescent="0.3">
      <c r="A5" s="7" t="s">
        <v>89</v>
      </c>
      <c r="B5" s="9" t="s">
        <v>90</v>
      </c>
    </row>
    <row r="6" spans="1:2" ht="13" x14ac:dyDescent="0.3">
      <c r="A6" s="7" t="s">
        <v>91</v>
      </c>
      <c r="B6" s="9" t="s">
        <v>92</v>
      </c>
    </row>
    <row r="7" spans="1:2" ht="13" x14ac:dyDescent="0.3">
      <c r="A7" s="7" t="s">
        <v>93</v>
      </c>
      <c r="B7" s="9" t="s">
        <v>96</v>
      </c>
    </row>
    <row r="8" spans="1:2" ht="13" x14ac:dyDescent="0.3">
      <c r="A8" s="7" t="s">
        <v>94</v>
      </c>
      <c r="B8" s="9" t="s">
        <v>95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17C6-54A9-4301-8A0C-FB9020B63B4E}">
  <dimension ref="A1:H23"/>
  <sheetViews>
    <sheetView workbookViewId="0">
      <selection activeCell="G14" sqref="G14"/>
    </sheetView>
  </sheetViews>
  <sheetFormatPr defaultRowHeight="12.5" x14ac:dyDescent="0.25"/>
  <cols>
    <col min="1" max="1" width="36.6640625" customWidth="1"/>
    <col min="2" max="5" width="13.33203125" customWidth="1"/>
    <col min="6" max="6" width="6" customWidth="1"/>
    <col min="7" max="7" width="36.6640625" customWidth="1"/>
    <col min="8" max="8" width="15" customWidth="1"/>
  </cols>
  <sheetData>
    <row r="1" spans="1:8" ht="32" customHeight="1" x14ac:dyDescent="0.3">
      <c r="A1" s="21" t="s">
        <v>68</v>
      </c>
      <c r="B1" s="22"/>
      <c r="C1" s="22"/>
      <c r="D1" s="22"/>
      <c r="E1" s="22"/>
      <c r="F1" s="22"/>
      <c r="G1" s="22"/>
      <c r="H1" s="22"/>
    </row>
    <row r="2" spans="1:8" ht="13" x14ac:dyDescent="0.3">
      <c r="A2" s="23" t="s">
        <v>69</v>
      </c>
      <c r="B2" s="24"/>
      <c r="C2" s="24"/>
      <c r="D2" s="24"/>
      <c r="E2" s="24"/>
      <c r="F2" s="24"/>
      <c r="G2" s="24"/>
      <c r="H2" s="24"/>
    </row>
    <row r="3" spans="1:8" ht="13" x14ac:dyDescent="0.3">
      <c r="A3" s="3"/>
      <c r="B3" s="3"/>
      <c r="C3" s="3"/>
      <c r="D3" s="3"/>
      <c r="E3" s="3"/>
      <c r="F3" s="3"/>
      <c r="G3" s="3"/>
      <c r="H3" s="3"/>
    </row>
    <row r="4" spans="1:8" ht="13" x14ac:dyDescent="0.3">
      <c r="A4" s="19" t="s">
        <v>70</v>
      </c>
      <c r="B4" s="19"/>
      <c r="C4" s="19"/>
      <c r="D4" s="19" t="s">
        <v>74</v>
      </c>
      <c r="E4" s="19"/>
      <c r="F4" s="19"/>
      <c r="G4" s="3"/>
      <c r="H4" s="3"/>
    </row>
    <row r="5" spans="1:8" ht="13" x14ac:dyDescent="0.3">
      <c r="A5" s="7" t="s">
        <v>71</v>
      </c>
      <c r="B5" s="10">
        <f>SUM(ConsumptionDetail[2004-05])</f>
        <v>1925591.999996</v>
      </c>
      <c r="C5" s="7"/>
      <c r="D5" s="7" t="s">
        <v>75</v>
      </c>
      <c r="E5" s="7" t="str">
        <f>INDEX($A$11:$A$18,MATCH(MAX($C$11:$C$18),$C$11:$C$18,0))</f>
        <v>Food, Beverages &amp; Tobacco</v>
      </c>
      <c r="F5" s="7"/>
      <c r="G5" s="3"/>
      <c r="H5" s="3"/>
    </row>
    <row r="6" spans="1:8" ht="13" x14ac:dyDescent="0.3">
      <c r="A6" s="7" t="s">
        <v>72</v>
      </c>
      <c r="B6" s="10">
        <f>SUM(ConsumptionDetail[2010-11])</f>
        <v>4359792.0000029998</v>
      </c>
      <c r="C6" s="7"/>
      <c r="D6" s="7" t="s">
        <v>76</v>
      </c>
      <c r="E6" s="12">
        <f>MAX($C$11:$C$18)</f>
        <v>1594534.000003</v>
      </c>
      <c r="F6" s="13"/>
      <c r="G6" s="3"/>
      <c r="H6" s="3"/>
    </row>
    <row r="7" spans="1:8" ht="13" x14ac:dyDescent="0.3">
      <c r="A7" s="7" t="s">
        <v>73</v>
      </c>
      <c r="B7" s="11">
        <f>B6/B5-1</f>
        <v>1.2641307192863578</v>
      </c>
      <c r="C7" s="7"/>
      <c r="D7" s="7" t="s">
        <v>77</v>
      </c>
      <c r="E7" s="11">
        <f>E6/$B$6</f>
        <v>0.36573625530802911</v>
      </c>
      <c r="F7" s="7"/>
      <c r="G7" s="3"/>
      <c r="H7" s="3"/>
    </row>
    <row r="8" spans="1:8" ht="13" x14ac:dyDescent="0.3">
      <c r="A8" s="3"/>
      <c r="B8" s="3"/>
      <c r="C8" s="3"/>
      <c r="D8" s="3"/>
      <c r="E8" s="3"/>
      <c r="F8" s="3"/>
      <c r="G8" s="3"/>
      <c r="H8" s="3"/>
    </row>
    <row r="9" spans="1:8" ht="13" x14ac:dyDescent="0.3">
      <c r="A9" s="19" t="s">
        <v>78</v>
      </c>
      <c r="B9" s="19"/>
      <c r="C9" s="19"/>
      <c r="D9" s="19"/>
      <c r="E9" s="19"/>
      <c r="F9" s="3"/>
      <c r="G9" s="19" t="s">
        <v>82</v>
      </c>
      <c r="H9" s="19"/>
    </row>
    <row r="10" spans="1:8" ht="13" x14ac:dyDescent="0.3">
      <c r="A10" s="6" t="s">
        <v>79</v>
      </c>
      <c r="B10" s="6" t="s">
        <v>0</v>
      </c>
      <c r="C10" s="6" t="s">
        <v>6</v>
      </c>
      <c r="D10" s="6" t="s">
        <v>80</v>
      </c>
      <c r="E10" s="6" t="s">
        <v>81</v>
      </c>
      <c r="F10" s="3"/>
      <c r="G10" s="6" t="s">
        <v>7</v>
      </c>
      <c r="H10" s="6" t="s">
        <v>83</v>
      </c>
    </row>
    <row r="11" spans="1:8" ht="13" x14ac:dyDescent="0.3">
      <c r="A11" s="7" t="s">
        <v>10</v>
      </c>
      <c r="B11" s="10">
        <f>SUMIF(ConsumptionDetail[Group Name],A11,ConsumptionDetail[2004-05])</f>
        <v>769499.99999599997</v>
      </c>
      <c r="C11" s="10">
        <f>SUMIF(ConsumptionDetail[Group Name],A11,ConsumptionDetail[2010-11])</f>
        <v>1594534.000003</v>
      </c>
      <c r="D11" s="10">
        <f>C11-B11</f>
        <v>825034.00000700005</v>
      </c>
      <c r="E11" s="11">
        <f>C11/B11-1</f>
        <v>1.0721689408853656</v>
      </c>
      <c r="F11" s="3"/>
      <c r="G11" s="7" t="str">
        <f>INDEX(ConsumptionDetail[Item],MATCH(H11,ConsumptionDetail[2010-11],0))</f>
        <v>Other Miscellaneous Services</v>
      </c>
      <c r="H11" s="10">
        <f>LARGE(ConsumptionDetail[2010-11],ROWS($H$11:H11))</f>
        <v>440503</v>
      </c>
    </row>
    <row r="12" spans="1:8" ht="13" x14ac:dyDescent="0.3">
      <c r="A12" s="7" t="s">
        <v>27</v>
      </c>
      <c r="B12" s="10">
        <f>SUMIF(ConsumptionDetail[Group Name],A12,ConsumptionDetail[2004-05])</f>
        <v>127829</v>
      </c>
      <c r="C12" s="10">
        <f>SUMIF(ConsumptionDetail[Group Name],A12,ConsumptionDetail[2010-11])</f>
        <v>312316</v>
      </c>
      <c r="D12" s="10">
        <f t="shared" ref="D12:D18" si="0">C12-B12</f>
        <v>184487</v>
      </c>
      <c r="E12" s="11">
        <f t="shared" ref="E12:E18" si="1">C12/B12-1</f>
        <v>1.4432327562603167</v>
      </c>
      <c r="F12" s="3"/>
      <c r="G12" s="7" t="str">
        <f>INDEX(ConsumptionDetail[Item],MATCH(H12,ConsumptionDetail[2010-11],0))</f>
        <v>Gross Rent &amp; Water Charges</v>
      </c>
      <c r="H12" s="10">
        <f>LARGE(ConsumptionDetail[2010-11],ROWS($H$11:H12))</f>
        <v>425533</v>
      </c>
    </row>
    <row r="13" spans="1:8" ht="13" x14ac:dyDescent="0.3">
      <c r="A13" s="7" t="s">
        <v>30</v>
      </c>
      <c r="B13" s="10">
        <f>SUMIF(ConsumptionDetail[Group Name],A13,ConsumptionDetail[2004-05])</f>
        <v>266434</v>
      </c>
      <c r="C13" s="10">
        <f>SUMIF(ConsumptionDetail[Group Name],A13,ConsumptionDetail[2010-11])</f>
        <v>580891</v>
      </c>
      <c r="D13" s="10">
        <f t="shared" si="0"/>
        <v>314457</v>
      </c>
      <c r="E13" s="11">
        <f t="shared" si="1"/>
        <v>1.1802435124646253</v>
      </c>
      <c r="F13" s="3"/>
      <c r="G13" s="7" t="str">
        <f>INDEX(ConsumptionDetail[Item],MATCH(H13,ConsumptionDetail[2010-11],0))</f>
        <v>Purchase Of Transport Services</v>
      </c>
      <c r="H13" s="10">
        <f>LARGE(ConsumptionDetail[2010-11],ROWS($H$11:H13))</f>
        <v>357111</v>
      </c>
    </row>
    <row r="14" spans="1:8" ht="13" x14ac:dyDescent="0.3">
      <c r="A14" s="7" t="s">
        <v>37</v>
      </c>
      <c r="B14" s="10">
        <f>SUMIF(ConsumptionDetail[Group Name],A14,ConsumptionDetail[2004-05])</f>
        <v>65174</v>
      </c>
      <c r="C14" s="10">
        <f>SUMIF(ConsumptionDetail[Group Name],A14,ConsumptionDetail[2010-11])</f>
        <v>174422</v>
      </c>
      <c r="D14" s="10">
        <f t="shared" si="0"/>
        <v>109248</v>
      </c>
      <c r="E14" s="11">
        <f t="shared" si="1"/>
        <v>1.6762512658422071</v>
      </c>
      <c r="F14" s="3"/>
      <c r="G14" s="7" t="str">
        <f>INDEX(ConsumptionDetail[Item],MATCH(H14,ConsumptionDetail[2010-11],0))</f>
        <v>Fruits &amp; Vegetables</v>
      </c>
      <c r="H14" s="10">
        <f>LARGE(ConsumptionDetail[2010-11],ROWS($H$11:H14))</f>
        <v>327152</v>
      </c>
    </row>
    <row r="15" spans="1:8" ht="13" x14ac:dyDescent="0.3">
      <c r="A15" s="7" t="s">
        <v>42</v>
      </c>
      <c r="B15" s="10">
        <f>SUMIF(ConsumptionDetail[Group Name],A15,ConsumptionDetail[2004-05])</f>
        <v>95560</v>
      </c>
      <c r="C15" s="10">
        <f>SUMIF(ConsumptionDetail[Group Name],A15,ConsumptionDetail[2010-11])</f>
        <v>170599</v>
      </c>
      <c r="D15" s="10">
        <f t="shared" si="0"/>
        <v>75039</v>
      </c>
      <c r="E15" s="11">
        <f t="shared" si="1"/>
        <v>0.78525533696107153</v>
      </c>
      <c r="F15" s="3"/>
      <c r="G15" s="7" t="str">
        <f>INDEX(ConsumptionDetail[Item],MATCH(H15,ConsumptionDetail[2010-11],0))</f>
        <v>Cereals &amp; Bread</v>
      </c>
      <c r="H15" s="10">
        <f>LARGE(ConsumptionDetail[2010-11],ROWS($H$11:H15))</f>
        <v>292631.32893000002</v>
      </c>
    </row>
    <row r="16" spans="1:8" ht="13" x14ac:dyDescent="0.3">
      <c r="A16" s="7" t="s">
        <v>44</v>
      </c>
      <c r="B16" s="10">
        <f>SUMIF(ConsumptionDetail[Group Name],A16,ConsumptionDetail[2004-05])</f>
        <v>371800</v>
      </c>
      <c r="C16" s="10">
        <f>SUMIF(ConsumptionDetail[Group Name],A16,ConsumptionDetail[2010-11])</f>
        <v>747741</v>
      </c>
      <c r="D16" s="10">
        <f t="shared" si="0"/>
        <v>375941</v>
      </c>
      <c r="E16" s="11">
        <f t="shared" si="1"/>
        <v>1.0111377084454007</v>
      </c>
      <c r="F16" s="3"/>
      <c r="G16" s="3"/>
      <c r="H16" s="3"/>
    </row>
    <row r="17" spans="1:8" ht="13" x14ac:dyDescent="0.3">
      <c r="A17" s="7" t="s">
        <v>49</v>
      </c>
      <c r="B17" s="10">
        <f>SUMIF(ConsumptionDetail[Group Name],A17,ConsumptionDetail[2004-05])</f>
        <v>57213</v>
      </c>
      <c r="C17" s="10">
        <f>SUMIF(ConsumptionDetail[Group Name],A17,ConsumptionDetail[2010-11])</f>
        <v>116172</v>
      </c>
      <c r="D17" s="10">
        <f t="shared" si="0"/>
        <v>58959</v>
      </c>
      <c r="E17" s="11">
        <f t="shared" si="1"/>
        <v>1.0305175397199937</v>
      </c>
      <c r="F17" s="3"/>
      <c r="G17" s="3"/>
      <c r="H17" s="3"/>
    </row>
    <row r="18" spans="1:8" ht="13" x14ac:dyDescent="0.3">
      <c r="A18" s="7" t="s">
        <v>53</v>
      </c>
      <c r="B18" s="10">
        <f>SUMIF(ConsumptionDetail[Group Name],A18,ConsumptionDetail[2004-05])</f>
        <v>172082</v>
      </c>
      <c r="C18" s="10">
        <f>SUMIF(ConsumptionDetail[Group Name],A18,ConsumptionDetail[2010-11])</f>
        <v>663117</v>
      </c>
      <c r="D18" s="10">
        <f t="shared" si="0"/>
        <v>491035</v>
      </c>
      <c r="E18" s="11">
        <f t="shared" si="1"/>
        <v>2.8534942643623391</v>
      </c>
      <c r="F18" s="3"/>
      <c r="G18" s="3"/>
      <c r="H18" s="3"/>
    </row>
    <row r="19" spans="1:8" ht="13" x14ac:dyDescent="0.3">
      <c r="A19" s="3"/>
      <c r="B19" s="3"/>
      <c r="C19" s="3"/>
      <c r="D19" s="3"/>
      <c r="E19" s="3"/>
      <c r="F19" s="3"/>
      <c r="G19" s="3"/>
      <c r="H19" s="3"/>
    </row>
    <row r="20" spans="1:8" ht="13" x14ac:dyDescent="0.3">
      <c r="A20" s="19" t="s">
        <v>84</v>
      </c>
      <c r="B20" s="19"/>
      <c r="C20" s="19"/>
      <c r="D20" s="19"/>
      <c r="E20" s="19"/>
      <c r="F20" s="19"/>
      <c r="G20" s="19"/>
      <c r="H20" s="19"/>
    </row>
    <row r="21" spans="1:8" ht="30" customHeight="1" x14ac:dyDescent="0.3">
      <c r="A21" s="20" t="str">
        <f>"1. Detailed spending increased from "&amp;TEXT(B5,"#,##0")&amp;" in 2004-05 to "&amp;TEXT(B6,"#,##0")&amp;" in 2010-11, a rise of "&amp;TEXT(B7,"0.0%")&amp;"."</f>
        <v>1. Detailed spending increased from 1,925,592 in 2004-05 to 4,359,792 in 2010-11, a rise of 126.4%.</v>
      </c>
      <c r="B21" s="20"/>
      <c r="C21" s="20"/>
      <c r="D21" s="20"/>
      <c r="E21" s="20"/>
      <c r="F21" s="20"/>
      <c r="G21" s="20"/>
      <c r="H21" s="20"/>
    </row>
    <row r="22" spans="1:8" ht="30" customHeight="1" x14ac:dyDescent="0.3">
      <c r="A22" s="20" t="str">
        <f>"2. The largest spending group in 2010-11 was "&amp;E5&amp;" at "&amp;TEXT(E6,"#,##0")&amp;", representing "&amp;TEXT(E7,"0.0%")&amp;" of detailed expenditure."</f>
        <v>2. The largest spending group in 2010-11 was Food, Beverages &amp; Tobacco at 1,594,534, representing 36.6% of detailed expenditure.</v>
      </c>
      <c r="B22" s="20"/>
      <c r="C22" s="20"/>
      <c r="D22" s="20"/>
      <c r="E22" s="20"/>
      <c r="F22" s="20"/>
      <c r="G22" s="20"/>
      <c r="H22" s="20"/>
    </row>
    <row r="23" spans="1:8" ht="30" customHeight="1" x14ac:dyDescent="0.3">
      <c r="A23" s="20" t="str">
        <f>"3. The highest-spend individual item in 2010-11 was "&amp;G11&amp;" at "&amp;TEXT(H11,"#,##0")&amp;"."</f>
        <v>3. The highest-spend individual item in 2010-11 was Other Miscellaneous Services at 440,503.</v>
      </c>
      <c r="B23" s="20"/>
      <c r="C23" s="20"/>
      <c r="D23" s="20"/>
      <c r="E23" s="20"/>
      <c r="F23" s="20"/>
      <c r="G23" s="20"/>
      <c r="H23" s="20"/>
    </row>
  </sheetData>
  <mergeCells count="10">
    <mergeCell ref="A20:H20"/>
    <mergeCell ref="A21:H21"/>
    <mergeCell ref="A22:H22"/>
    <mergeCell ref="A23:H23"/>
    <mergeCell ref="A1:H1"/>
    <mergeCell ref="A2:H2"/>
    <mergeCell ref="A4:C4"/>
    <mergeCell ref="D4:F4"/>
    <mergeCell ref="A9:E9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95CE-EF6F-4248-80E5-3320E68D2F3B}">
  <dimension ref="A1:I60"/>
  <sheetViews>
    <sheetView zoomScale="85" zoomScaleNormal="85" workbookViewId="0">
      <selection activeCell="B5" sqref="B5"/>
    </sheetView>
  </sheetViews>
  <sheetFormatPr defaultRowHeight="12.5" x14ac:dyDescent="0.25"/>
  <cols>
    <col min="1" max="1" width="46.5" bestFit="1" customWidth="1"/>
    <col min="2" max="8" width="16.25" bestFit="1" customWidth="1"/>
    <col min="9" max="9" width="12.5" customWidth="1"/>
  </cols>
  <sheetData>
    <row r="1" spans="1:9" ht="32" customHeight="1" x14ac:dyDescent="0.3">
      <c r="A1" s="15" t="s">
        <v>65</v>
      </c>
      <c r="B1" s="16"/>
      <c r="C1" s="16"/>
      <c r="D1" s="16"/>
      <c r="E1" s="16"/>
      <c r="F1" s="16"/>
      <c r="G1" s="16"/>
      <c r="H1" s="16"/>
      <c r="I1" s="16"/>
    </row>
    <row r="2" spans="1:9" ht="13" x14ac:dyDescent="0.3">
      <c r="A2" s="25" t="s">
        <v>97</v>
      </c>
      <c r="B2" s="26"/>
      <c r="C2" s="26"/>
      <c r="D2" s="26"/>
      <c r="E2" s="26"/>
      <c r="F2" s="26"/>
      <c r="G2" s="26"/>
      <c r="H2" s="26"/>
      <c r="I2" s="27"/>
    </row>
    <row r="3" spans="1:9" ht="13" x14ac:dyDescent="0.3">
      <c r="A3" s="19" t="s">
        <v>66</v>
      </c>
      <c r="B3" s="19"/>
      <c r="C3" s="19"/>
      <c r="D3" s="19"/>
      <c r="E3" s="19"/>
      <c r="F3" s="19"/>
      <c r="G3" s="19"/>
      <c r="H3" s="19"/>
      <c r="I3" s="19"/>
    </row>
    <row r="4" spans="1:9" ht="13" x14ac:dyDescent="0.3">
      <c r="A4" s="14" t="s">
        <v>8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/>
    </row>
    <row r="5" spans="1:9" ht="13" x14ac:dyDescent="0.3">
      <c r="A5" s="7" t="s">
        <v>27</v>
      </c>
      <c r="B5" s="10">
        <v>127829</v>
      </c>
      <c r="C5" s="10">
        <v>151143</v>
      </c>
      <c r="D5" s="10">
        <v>189593</v>
      </c>
      <c r="E5" s="10">
        <v>204639</v>
      </c>
      <c r="F5" s="10">
        <v>220661</v>
      </c>
      <c r="G5" s="10">
        <v>266503</v>
      </c>
      <c r="H5" s="10">
        <v>312316</v>
      </c>
      <c r="I5" s="10"/>
    </row>
    <row r="6" spans="1:9" ht="13" x14ac:dyDescent="0.3">
      <c r="A6" s="7" t="s">
        <v>10</v>
      </c>
      <c r="B6" s="10">
        <v>769499.99999599997</v>
      </c>
      <c r="C6" s="10">
        <v>856555.99999699998</v>
      </c>
      <c r="D6" s="10">
        <v>956958.99999899999</v>
      </c>
      <c r="E6" s="10">
        <v>1088982.999998</v>
      </c>
      <c r="F6" s="10">
        <v>1210612.999998</v>
      </c>
      <c r="G6" s="10">
        <v>1372315.000004</v>
      </c>
      <c r="H6" s="10">
        <v>1594534.000003</v>
      </c>
      <c r="I6" s="10"/>
    </row>
    <row r="7" spans="1:9" ht="13" x14ac:dyDescent="0.3">
      <c r="A7" s="7" t="s">
        <v>37</v>
      </c>
      <c r="B7" s="10">
        <v>65174</v>
      </c>
      <c r="C7" s="10">
        <v>76808</v>
      </c>
      <c r="D7" s="10">
        <v>93813</v>
      </c>
      <c r="E7" s="10">
        <v>112269</v>
      </c>
      <c r="F7" s="10">
        <v>130970</v>
      </c>
      <c r="G7" s="10">
        <v>148485</v>
      </c>
      <c r="H7" s="10">
        <v>174422</v>
      </c>
      <c r="I7" s="10"/>
    </row>
    <row r="8" spans="1:9" ht="13" x14ac:dyDescent="0.3">
      <c r="A8" s="7" t="s">
        <v>30</v>
      </c>
      <c r="B8" s="10">
        <v>266434</v>
      </c>
      <c r="C8" s="10">
        <v>290838</v>
      </c>
      <c r="D8" s="10">
        <v>329053</v>
      </c>
      <c r="E8" s="10">
        <v>380037</v>
      </c>
      <c r="F8" s="10">
        <v>444119</v>
      </c>
      <c r="G8" s="10">
        <v>497546</v>
      </c>
      <c r="H8" s="10">
        <v>580891</v>
      </c>
      <c r="I8" s="10"/>
    </row>
    <row r="9" spans="1:9" ht="13" x14ac:dyDescent="0.3">
      <c r="A9" s="7" t="s">
        <v>42</v>
      </c>
      <c r="B9" s="10">
        <v>95560</v>
      </c>
      <c r="C9" s="10">
        <v>105244</v>
      </c>
      <c r="D9" s="10">
        <v>115900</v>
      </c>
      <c r="E9" s="10">
        <v>127648</v>
      </c>
      <c r="F9" s="10">
        <v>140595</v>
      </c>
      <c r="G9" s="10">
        <v>154872</v>
      </c>
      <c r="H9" s="10">
        <v>170599</v>
      </c>
      <c r="I9" s="10"/>
    </row>
    <row r="10" spans="1:9" ht="13" x14ac:dyDescent="0.3">
      <c r="A10" s="7" t="s">
        <v>53</v>
      </c>
      <c r="B10" s="10">
        <v>172082</v>
      </c>
      <c r="C10" s="10">
        <v>201861</v>
      </c>
      <c r="D10" s="10">
        <v>256620</v>
      </c>
      <c r="E10" s="10">
        <v>342552</v>
      </c>
      <c r="F10" s="10">
        <v>445780</v>
      </c>
      <c r="G10" s="10">
        <v>547918</v>
      </c>
      <c r="H10" s="10">
        <v>663117</v>
      </c>
      <c r="I10" s="10"/>
    </row>
    <row r="11" spans="1:9" ht="13" x14ac:dyDescent="0.3">
      <c r="A11" s="7" t="s">
        <v>49</v>
      </c>
      <c r="B11" s="10">
        <v>57213</v>
      </c>
      <c r="C11" s="10">
        <v>65473</v>
      </c>
      <c r="D11" s="10">
        <v>74359</v>
      </c>
      <c r="E11" s="10">
        <v>84643</v>
      </c>
      <c r="F11" s="10">
        <v>95116</v>
      </c>
      <c r="G11" s="10">
        <v>104146</v>
      </c>
      <c r="H11" s="10">
        <v>116172</v>
      </c>
      <c r="I11" s="10"/>
    </row>
    <row r="12" spans="1:9" ht="13" x14ac:dyDescent="0.3">
      <c r="A12" s="7" t="s">
        <v>44</v>
      </c>
      <c r="B12" s="10">
        <v>371800</v>
      </c>
      <c r="C12" s="10">
        <v>411614</v>
      </c>
      <c r="D12" s="10">
        <v>472391</v>
      </c>
      <c r="E12" s="10">
        <v>509623</v>
      </c>
      <c r="F12" s="10">
        <v>570091</v>
      </c>
      <c r="G12" s="10">
        <v>630251</v>
      </c>
      <c r="H12" s="10">
        <v>747741</v>
      </c>
      <c r="I12" s="10"/>
    </row>
    <row r="13" spans="1:9" ht="13" x14ac:dyDescent="0.3">
      <c r="A13" s="3"/>
      <c r="B13" s="5"/>
      <c r="C13" s="5"/>
      <c r="D13" s="5"/>
      <c r="E13" s="5"/>
      <c r="F13" s="5"/>
      <c r="G13" s="5"/>
      <c r="H13" s="5"/>
      <c r="I13" s="5"/>
    </row>
    <row r="14" spans="1:9" ht="13" x14ac:dyDescent="0.3">
      <c r="A14" s="3"/>
      <c r="B14" s="5"/>
      <c r="C14" s="5"/>
      <c r="D14" s="5"/>
      <c r="E14" s="5"/>
      <c r="F14" s="5"/>
      <c r="G14" s="5"/>
      <c r="H14" s="5"/>
      <c r="I14" s="5"/>
    </row>
    <row r="15" spans="1:9" ht="13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13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3" x14ac:dyDescent="0.3">
      <c r="A17" s="28" t="s">
        <v>67</v>
      </c>
      <c r="B17" s="28"/>
      <c r="C17" s="28"/>
      <c r="D17" s="28"/>
      <c r="E17" s="28"/>
      <c r="F17" s="28"/>
      <c r="G17" s="28"/>
      <c r="H17" s="28"/>
      <c r="I17" s="28"/>
    </row>
    <row r="18" spans="1:9" ht="13" x14ac:dyDescent="0.3">
      <c r="A18" s="14" t="s">
        <v>7</v>
      </c>
      <c r="B18" s="7" t="s">
        <v>64</v>
      </c>
      <c r="C18" s="3"/>
      <c r="D18" s="3"/>
      <c r="E18" s="3"/>
      <c r="F18" s="3"/>
      <c r="G18" s="3"/>
      <c r="H18" s="3"/>
      <c r="I18" s="3"/>
    </row>
    <row r="19" spans="1:9" ht="13" x14ac:dyDescent="0.3">
      <c r="A19" s="7" t="s">
        <v>22</v>
      </c>
      <c r="B19" s="10">
        <v>71819</v>
      </c>
      <c r="C19" s="3"/>
      <c r="D19" s="3"/>
      <c r="E19" s="3"/>
      <c r="F19" s="3"/>
      <c r="G19" s="3"/>
      <c r="H19" s="3"/>
      <c r="I19" s="3"/>
    </row>
    <row r="20" spans="1:9" ht="13" x14ac:dyDescent="0.3">
      <c r="A20" s="7" t="s">
        <v>11</v>
      </c>
      <c r="B20" s="10">
        <v>292631.32893000002</v>
      </c>
      <c r="C20" s="3"/>
      <c r="D20" s="3"/>
      <c r="E20" s="3"/>
      <c r="F20" s="3"/>
      <c r="G20" s="3"/>
      <c r="H20" s="3"/>
      <c r="I20" s="3"/>
    </row>
    <row r="21" spans="1:9" ht="13" x14ac:dyDescent="0.3">
      <c r="A21" s="7" t="s">
        <v>26</v>
      </c>
      <c r="B21" s="10">
        <v>260361</v>
      </c>
      <c r="C21" s="3"/>
      <c r="D21" s="3"/>
      <c r="E21" s="3"/>
      <c r="F21" s="3"/>
      <c r="G21" s="3"/>
      <c r="H21" s="3"/>
      <c r="I21" s="3"/>
    </row>
    <row r="22" spans="1:9" ht="13" x14ac:dyDescent="0.3">
      <c r="A22" s="7" t="s">
        <v>19</v>
      </c>
      <c r="B22" s="10">
        <v>9927</v>
      </c>
      <c r="C22" s="3"/>
      <c r="D22" s="3"/>
      <c r="E22" s="3"/>
      <c r="F22" s="3"/>
      <c r="G22" s="3"/>
      <c r="H22" s="3"/>
      <c r="I22" s="3"/>
    </row>
    <row r="23" spans="1:9" ht="13" x14ac:dyDescent="0.3">
      <c r="A23" s="7" t="s">
        <v>47</v>
      </c>
      <c r="B23" s="10">
        <v>74508</v>
      </c>
      <c r="C23" s="3"/>
      <c r="D23" s="3"/>
      <c r="E23" s="3"/>
      <c r="F23" s="3"/>
      <c r="G23" s="3"/>
      <c r="H23" s="3"/>
      <c r="I23" s="3"/>
    </row>
    <row r="24" spans="1:9" ht="13" x14ac:dyDescent="0.3">
      <c r="A24" s="7" t="s">
        <v>51</v>
      </c>
      <c r="B24" s="10">
        <v>57963</v>
      </c>
      <c r="C24" s="3"/>
      <c r="D24" s="3"/>
      <c r="E24" s="3"/>
      <c r="F24" s="3"/>
      <c r="G24" s="3"/>
      <c r="H24" s="3"/>
      <c r="I24" s="3"/>
    </row>
    <row r="25" spans="1:9" ht="13" x14ac:dyDescent="0.3">
      <c r="A25" s="7" t="s">
        <v>32</v>
      </c>
      <c r="B25" s="10">
        <v>34483</v>
      </c>
      <c r="C25" s="3"/>
      <c r="D25" s="3"/>
      <c r="E25" s="3"/>
      <c r="F25" s="3"/>
      <c r="G25" s="3"/>
      <c r="H25" s="3"/>
      <c r="I25" s="3"/>
    </row>
    <row r="26" spans="1:9" ht="13" x14ac:dyDescent="0.3">
      <c r="A26" s="7" t="s">
        <v>48</v>
      </c>
      <c r="B26" s="10">
        <v>55582</v>
      </c>
      <c r="C26" s="3"/>
      <c r="D26" s="3"/>
      <c r="E26" s="3"/>
      <c r="F26" s="3"/>
      <c r="G26" s="3"/>
      <c r="H26" s="3"/>
      <c r="I26" s="3"/>
    </row>
    <row r="27" spans="1:9" ht="13" x14ac:dyDescent="0.3">
      <c r="A27" s="7" t="s">
        <v>28</v>
      </c>
      <c r="B27" s="10">
        <v>51955</v>
      </c>
      <c r="C27" s="3"/>
      <c r="D27" s="3"/>
      <c r="E27" s="3"/>
      <c r="F27" s="3"/>
      <c r="G27" s="3"/>
      <c r="H27" s="3"/>
      <c r="I27" s="3"/>
    </row>
    <row r="28" spans="1:9" ht="13" x14ac:dyDescent="0.3">
      <c r="A28" s="7" t="s">
        <v>15</v>
      </c>
      <c r="B28" s="10">
        <v>327152</v>
      </c>
      <c r="C28" s="3"/>
      <c r="D28" s="3"/>
      <c r="E28" s="3"/>
      <c r="F28" s="3"/>
      <c r="G28" s="3"/>
      <c r="H28" s="3"/>
      <c r="I28" s="3"/>
    </row>
    <row r="29" spans="1:9" ht="13" x14ac:dyDescent="0.3">
      <c r="A29" s="7" t="s">
        <v>36</v>
      </c>
      <c r="B29" s="10">
        <v>22012</v>
      </c>
      <c r="C29" s="3"/>
      <c r="D29" s="3"/>
      <c r="E29" s="3"/>
      <c r="F29" s="3"/>
      <c r="G29" s="3"/>
      <c r="H29" s="3"/>
      <c r="I29" s="3"/>
    </row>
    <row r="30" spans="1:9" ht="13" x14ac:dyDescent="0.3">
      <c r="A30" s="7" t="s">
        <v>39</v>
      </c>
      <c r="B30" s="10">
        <v>43156</v>
      </c>
      <c r="C30" s="3"/>
      <c r="D30" s="3"/>
      <c r="E30" s="3"/>
      <c r="F30" s="3"/>
      <c r="G30" s="3"/>
      <c r="H30" s="3"/>
      <c r="I30" s="3"/>
    </row>
    <row r="31" spans="1:9" ht="13" x14ac:dyDescent="0.3">
      <c r="A31" s="7" t="s">
        <v>29</v>
      </c>
      <c r="B31" s="10">
        <v>425533</v>
      </c>
      <c r="C31" s="3"/>
      <c r="D31" s="3"/>
      <c r="E31" s="3"/>
      <c r="F31" s="3"/>
      <c r="G31" s="3"/>
      <c r="H31" s="3"/>
      <c r="I31" s="3"/>
    </row>
    <row r="32" spans="1:9" ht="13" x14ac:dyDescent="0.3">
      <c r="A32" s="7" t="s">
        <v>25</v>
      </c>
      <c r="B32" s="10">
        <v>96310</v>
      </c>
      <c r="C32" s="3"/>
      <c r="D32" s="3"/>
      <c r="E32" s="3"/>
      <c r="F32" s="3"/>
      <c r="G32" s="3"/>
      <c r="H32" s="3"/>
      <c r="I32" s="3"/>
    </row>
    <row r="33" spans="1:9" ht="13" x14ac:dyDescent="0.3">
      <c r="A33" s="7" t="s">
        <v>34</v>
      </c>
      <c r="B33" s="10">
        <v>8927</v>
      </c>
      <c r="C33" s="3"/>
      <c r="D33" s="3"/>
      <c r="E33" s="3"/>
      <c r="F33" s="3"/>
      <c r="G33" s="3"/>
      <c r="H33" s="3"/>
      <c r="I33" s="3"/>
    </row>
    <row r="34" spans="1:9" ht="13" x14ac:dyDescent="0.3">
      <c r="A34" s="7" t="s">
        <v>33</v>
      </c>
      <c r="B34" s="10">
        <v>27217</v>
      </c>
      <c r="C34" s="3"/>
      <c r="D34" s="3"/>
      <c r="E34" s="3"/>
      <c r="F34" s="3"/>
      <c r="G34" s="3"/>
      <c r="H34" s="3"/>
      <c r="I34" s="3"/>
    </row>
    <row r="35" spans="1:9" ht="13" x14ac:dyDescent="0.3">
      <c r="A35" s="7" t="s">
        <v>18</v>
      </c>
      <c r="B35" s="10">
        <v>145361</v>
      </c>
      <c r="C35" s="3"/>
      <c r="D35" s="3"/>
      <c r="E35" s="3"/>
      <c r="F35" s="3"/>
      <c r="G35" s="3"/>
      <c r="H35" s="3"/>
      <c r="I35" s="3"/>
    </row>
    <row r="36" spans="1:9" ht="13" x14ac:dyDescent="0.3">
      <c r="A36" s="7" t="s">
        <v>42</v>
      </c>
      <c r="B36" s="10">
        <v>170599</v>
      </c>
      <c r="C36" s="3"/>
      <c r="D36" s="3"/>
      <c r="E36" s="3"/>
      <c r="F36" s="3"/>
      <c r="G36" s="3"/>
      <c r="H36" s="3"/>
      <c r="I36" s="3"/>
    </row>
    <row r="37" spans="1:9" ht="13" x14ac:dyDescent="0.3">
      <c r="A37" s="7" t="s">
        <v>17</v>
      </c>
      <c r="B37" s="10">
        <v>285703</v>
      </c>
      <c r="C37" s="3"/>
      <c r="D37" s="3"/>
      <c r="E37" s="3"/>
      <c r="F37" s="3"/>
      <c r="G37" s="3"/>
      <c r="H37" s="3"/>
      <c r="I37" s="3"/>
    </row>
    <row r="38" spans="1:9" ht="13" x14ac:dyDescent="0.3">
      <c r="A38" s="7" t="s">
        <v>14</v>
      </c>
      <c r="B38" s="10">
        <v>55158</v>
      </c>
      <c r="C38" s="3"/>
      <c r="D38" s="3"/>
      <c r="E38" s="3"/>
      <c r="F38" s="3"/>
      <c r="G38" s="3"/>
      <c r="H38" s="3"/>
      <c r="I38" s="3"/>
    </row>
    <row r="39" spans="1:9" ht="13" x14ac:dyDescent="0.3">
      <c r="A39" s="7" t="s">
        <v>45</v>
      </c>
      <c r="B39" s="10">
        <v>236681</v>
      </c>
      <c r="C39" s="3"/>
      <c r="D39" s="3"/>
      <c r="E39" s="3"/>
      <c r="F39" s="3"/>
      <c r="G39" s="3"/>
      <c r="H39" s="3"/>
      <c r="I39" s="3"/>
    </row>
    <row r="40" spans="1:9" ht="13" x14ac:dyDescent="0.3">
      <c r="A40" s="7" t="s">
        <v>21</v>
      </c>
      <c r="B40" s="10">
        <v>23514</v>
      </c>
      <c r="C40" s="3"/>
      <c r="D40" s="3"/>
      <c r="E40" s="3"/>
      <c r="F40" s="3"/>
      <c r="G40" s="3"/>
      <c r="H40" s="3"/>
      <c r="I40" s="3"/>
    </row>
    <row r="41" spans="1:9" ht="13" x14ac:dyDescent="0.3">
      <c r="A41" s="7" t="s">
        <v>35</v>
      </c>
      <c r="B41" s="10">
        <v>84731</v>
      </c>
      <c r="C41" s="3"/>
      <c r="D41" s="3"/>
      <c r="E41" s="3"/>
      <c r="F41" s="3"/>
      <c r="G41" s="3"/>
      <c r="H41" s="3"/>
      <c r="I41" s="3"/>
    </row>
    <row r="42" spans="1:9" ht="13" x14ac:dyDescent="0.3">
      <c r="A42" s="7" t="s">
        <v>40</v>
      </c>
      <c r="B42" s="10">
        <v>38008</v>
      </c>
      <c r="C42" s="3"/>
      <c r="D42" s="3"/>
      <c r="E42" s="3"/>
      <c r="F42" s="3"/>
      <c r="G42" s="3"/>
      <c r="H42" s="3"/>
      <c r="I42" s="3"/>
    </row>
    <row r="43" spans="1:9" ht="13" x14ac:dyDescent="0.3">
      <c r="A43" s="7" t="s">
        <v>55</v>
      </c>
      <c r="B43" s="10">
        <v>440503</v>
      </c>
      <c r="C43" s="3"/>
      <c r="D43" s="3"/>
      <c r="E43" s="3"/>
      <c r="F43" s="3"/>
      <c r="G43" s="3"/>
      <c r="H43" s="3"/>
      <c r="I43" s="3"/>
    </row>
    <row r="44" spans="1:9" ht="13" x14ac:dyDescent="0.3">
      <c r="A44" s="7" t="s">
        <v>23</v>
      </c>
      <c r="B44" s="10">
        <v>19559</v>
      </c>
      <c r="C44" s="3"/>
      <c r="D44" s="3"/>
      <c r="E44" s="3"/>
      <c r="F44" s="3"/>
      <c r="G44" s="3"/>
      <c r="H44" s="3"/>
      <c r="I44" s="3"/>
    </row>
    <row r="45" spans="1:9" ht="13" x14ac:dyDescent="0.3">
      <c r="A45" s="7" t="s">
        <v>52</v>
      </c>
      <c r="B45" s="10">
        <v>148724</v>
      </c>
      <c r="C45" s="3"/>
      <c r="D45" s="3"/>
      <c r="E45" s="3"/>
      <c r="F45" s="3"/>
      <c r="G45" s="3"/>
      <c r="H45" s="3"/>
      <c r="I45" s="3"/>
    </row>
    <row r="46" spans="1:9" ht="13" x14ac:dyDescent="0.3">
      <c r="A46" s="7" t="s">
        <v>54</v>
      </c>
      <c r="B46" s="10">
        <v>73890</v>
      </c>
      <c r="C46" s="3"/>
      <c r="D46" s="3"/>
      <c r="E46" s="3"/>
      <c r="F46" s="3"/>
      <c r="G46" s="3"/>
      <c r="H46" s="3"/>
      <c r="I46" s="3"/>
    </row>
    <row r="47" spans="1:9" ht="13" x14ac:dyDescent="0.3">
      <c r="A47" s="7" t="s">
        <v>43</v>
      </c>
      <c r="B47" s="10">
        <v>79441</v>
      </c>
      <c r="C47" s="3"/>
      <c r="D47" s="3"/>
      <c r="E47" s="3"/>
      <c r="F47" s="3"/>
      <c r="G47" s="3"/>
      <c r="H47" s="3"/>
      <c r="I47" s="3"/>
    </row>
    <row r="48" spans="1:9" ht="13" x14ac:dyDescent="0.3">
      <c r="A48" s="7" t="s">
        <v>16</v>
      </c>
      <c r="B48" s="10">
        <v>40765</v>
      </c>
      <c r="C48" s="3"/>
      <c r="D48" s="3"/>
      <c r="E48" s="3"/>
      <c r="F48" s="3"/>
      <c r="G48" s="3"/>
      <c r="H48" s="3"/>
      <c r="I48" s="3"/>
    </row>
    <row r="49" spans="1:9" ht="13" x14ac:dyDescent="0.3">
      <c r="A49" s="7" t="s">
        <v>12</v>
      </c>
      <c r="B49" s="10">
        <v>40610.671072999998</v>
      </c>
      <c r="C49" s="3"/>
      <c r="D49" s="3"/>
      <c r="E49" s="3"/>
      <c r="F49" s="3"/>
      <c r="G49" s="3"/>
      <c r="H49" s="3"/>
      <c r="I49" s="3"/>
    </row>
    <row r="50" spans="1:9" ht="13" x14ac:dyDescent="0.3">
      <c r="A50" s="7" t="s">
        <v>46</v>
      </c>
      <c r="B50" s="10">
        <v>357111</v>
      </c>
      <c r="C50" s="3"/>
      <c r="D50" s="3"/>
      <c r="E50" s="3"/>
      <c r="F50" s="3"/>
      <c r="G50" s="3"/>
      <c r="H50" s="3"/>
      <c r="I50" s="3"/>
    </row>
    <row r="51" spans="1:9" ht="13" x14ac:dyDescent="0.3">
      <c r="A51" s="7" t="s">
        <v>50</v>
      </c>
      <c r="B51" s="10">
        <v>2627</v>
      </c>
      <c r="C51" s="3"/>
      <c r="D51" s="3"/>
      <c r="E51" s="3"/>
      <c r="F51" s="3"/>
      <c r="G51" s="3"/>
      <c r="H51" s="3"/>
      <c r="I51" s="3"/>
    </row>
    <row r="52" spans="1:9" ht="13" x14ac:dyDescent="0.3">
      <c r="A52" s="7" t="s">
        <v>38</v>
      </c>
      <c r="B52" s="10">
        <v>44838</v>
      </c>
      <c r="C52" s="3"/>
      <c r="D52" s="3"/>
      <c r="E52" s="3"/>
      <c r="F52" s="3"/>
      <c r="G52" s="3"/>
      <c r="H52" s="3"/>
      <c r="I52" s="3"/>
    </row>
    <row r="53" spans="1:9" ht="13" x14ac:dyDescent="0.3">
      <c r="A53" s="7" t="s">
        <v>41</v>
      </c>
      <c r="B53" s="10">
        <v>26408</v>
      </c>
      <c r="C53" s="3"/>
      <c r="D53" s="3"/>
      <c r="E53" s="3"/>
      <c r="F53" s="3"/>
      <c r="G53" s="3"/>
      <c r="H53" s="3"/>
      <c r="I53" s="3"/>
    </row>
    <row r="54" spans="1:9" ht="13" x14ac:dyDescent="0.3">
      <c r="A54" s="7" t="s">
        <v>20</v>
      </c>
      <c r="B54" s="10">
        <v>31531</v>
      </c>
      <c r="C54" s="3"/>
      <c r="D54" s="3"/>
      <c r="E54" s="3"/>
      <c r="F54" s="3"/>
      <c r="G54" s="3"/>
      <c r="H54" s="3"/>
      <c r="I54" s="3"/>
    </row>
    <row r="55" spans="1:9" ht="13" x14ac:dyDescent="0.3">
      <c r="A55" s="7" t="s">
        <v>13</v>
      </c>
      <c r="B55" s="10">
        <v>71859</v>
      </c>
      <c r="C55" s="3"/>
      <c r="D55" s="3"/>
      <c r="E55" s="3"/>
      <c r="F55" s="3"/>
      <c r="G55" s="3"/>
      <c r="H55" s="3"/>
      <c r="I55" s="3"/>
    </row>
    <row r="56" spans="1:9" ht="13" x14ac:dyDescent="0.3">
      <c r="A56" s="7" t="s">
        <v>24</v>
      </c>
      <c r="B56" s="10">
        <v>82634</v>
      </c>
      <c r="C56" s="3"/>
      <c r="D56" s="3"/>
      <c r="E56" s="3"/>
      <c r="F56" s="3"/>
      <c r="G56" s="3"/>
      <c r="H56" s="3"/>
      <c r="I56" s="3"/>
    </row>
    <row r="58" spans="1:9" x14ac:dyDescent="0.25">
      <c r="B58" s="2"/>
    </row>
    <row r="59" spans="1:9" x14ac:dyDescent="0.25">
      <c r="B59" s="2"/>
    </row>
    <row r="60" spans="1:9" x14ac:dyDescent="0.25">
      <c r="B60" s="2"/>
    </row>
  </sheetData>
  <mergeCells count="4">
    <mergeCell ref="A1:I1"/>
    <mergeCell ref="A2:I2"/>
    <mergeCell ref="A3:I3"/>
    <mergeCell ref="A17: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56EE-7048-4036-B3D9-37E84A5B4483}">
  <dimension ref="A1:I39"/>
  <sheetViews>
    <sheetView topLeftCell="A26" workbookViewId="0"/>
  </sheetViews>
  <sheetFormatPr defaultRowHeight="12.5" x14ac:dyDescent="0.25"/>
  <cols>
    <col min="1" max="1" width="36.6640625" customWidth="1"/>
    <col min="2" max="2" width="40" customWidth="1"/>
    <col min="3" max="9" width="13.33203125" customWidth="1"/>
  </cols>
  <sheetData>
    <row r="1" spans="1:9" ht="13" x14ac:dyDescent="0.3">
      <c r="A1" s="4" t="s">
        <v>7</v>
      </c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t="13" x14ac:dyDescent="0.3">
      <c r="A2" s="3" t="str">
        <f>'Consumption Source'!A3</f>
        <v>Cereals &amp; Bread</v>
      </c>
      <c r="B2" s="3" t="str">
        <f>'Consumption Source'!B3</f>
        <v>Food, Beverages &amp; Tobacco</v>
      </c>
      <c r="C2" s="5">
        <f>'Consumption Source'!C3</f>
        <v>165490.30376000001</v>
      </c>
      <c r="D2" s="5">
        <f>'Consumption Source'!D3</f>
        <v>180320.21681000001</v>
      </c>
      <c r="E2" s="5">
        <f>'Consumption Source'!E3</f>
        <v>202451.81974000001</v>
      </c>
      <c r="F2" s="5">
        <f>'Consumption Source'!F3</f>
        <v>229799.10665999999</v>
      </c>
      <c r="G2" s="5">
        <f>'Consumption Source'!G3</f>
        <v>249839.2873</v>
      </c>
      <c r="H2" s="5">
        <f>'Consumption Source'!H3</f>
        <v>251207.67434</v>
      </c>
      <c r="I2" s="5">
        <f>'Consumption Source'!I3</f>
        <v>292631.32893000002</v>
      </c>
    </row>
    <row r="3" spans="1:9" ht="13" x14ac:dyDescent="0.3">
      <c r="A3" s="3" t="str">
        <f>'Consumption Source'!A4</f>
        <v>Pulses</v>
      </c>
      <c r="B3" s="3" t="str">
        <f>'Consumption Source'!B4</f>
        <v>Food, Beverages &amp; Tobacco</v>
      </c>
      <c r="C3" s="5">
        <f>'Consumption Source'!C4</f>
        <v>15872.696236</v>
      </c>
      <c r="D3" s="5">
        <f>'Consumption Source'!D4</f>
        <v>19014.783187000001</v>
      </c>
      <c r="E3" s="5">
        <f>'Consumption Source'!E4</f>
        <v>23713.180259000001</v>
      </c>
      <c r="F3" s="5">
        <f>'Consumption Source'!F4</f>
        <v>26452.893338000002</v>
      </c>
      <c r="G3" s="5">
        <f>'Consumption Source'!G4</f>
        <v>29049.712697999999</v>
      </c>
      <c r="H3" s="5">
        <f>'Consumption Source'!H4</f>
        <v>33203.325664000004</v>
      </c>
      <c r="I3" s="5">
        <f>'Consumption Source'!I4</f>
        <v>40610.671072999998</v>
      </c>
    </row>
    <row r="4" spans="1:9" ht="13" x14ac:dyDescent="0.3">
      <c r="A4" s="3" t="str">
        <f>'Consumption Source'!A5</f>
        <v>Sugar &amp; Gur</v>
      </c>
      <c r="B4" s="3" t="str">
        <f>'Consumption Source'!B5</f>
        <v>Food, Beverages &amp; Tobacco</v>
      </c>
      <c r="C4" s="5">
        <f>'Consumption Source'!C5</f>
        <v>33339</v>
      </c>
      <c r="D4" s="5">
        <f>'Consumption Source'!D5</f>
        <v>36852</v>
      </c>
      <c r="E4" s="5">
        <f>'Consumption Source'!E5</f>
        <v>38589</v>
      </c>
      <c r="F4" s="5">
        <f>'Consumption Source'!F5</f>
        <v>37627</v>
      </c>
      <c r="G4" s="5">
        <f>'Consumption Source'!G5</f>
        <v>45834</v>
      </c>
      <c r="H4" s="5">
        <f>'Consumption Source'!H5</f>
        <v>64235</v>
      </c>
      <c r="I4" s="5">
        <f>'Consumption Source'!I5</f>
        <v>71859</v>
      </c>
    </row>
    <row r="5" spans="1:9" ht="13" x14ac:dyDescent="0.3">
      <c r="A5" s="3" t="str">
        <f>'Consumption Source'!A6</f>
        <v>Oils &amp; Oilseeds</v>
      </c>
      <c r="B5" s="3" t="str">
        <f>'Consumption Source'!B6</f>
        <v>Food, Beverages &amp; Tobacco</v>
      </c>
      <c r="C5" s="5">
        <f>'Consumption Source'!C6</f>
        <v>37778</v>
      </c>
      <c r="D5" s="5">
        <f>'Consumption Source'!D6</f>
        <v>34306</v>
      </c>
      <c r="E5" s="5">
        <f>'Consumption Source'!E6</f>
        <v>33593</v>
      </c>
      <c r="F5" s="5">
        <f>'Consumption Source'!F6</f>
        <v>41570</v>
      </c>
      <c r="G5" s="5">
        <f>'Consumption Source'!G6</f>
        <v>45257</v>
      </c>
      <c r="H5" s="5">
        <f>'Consumption Source'!H6</f>
        <v>44219</v>
      </c>
      <c r="I5" s="5">
        <f>'Consumption Source'!I6</f>
        <v>55158</v>
      </c>
    </row>
    <row r="6" spans="1:9" ht="13" x14ac:dyDescent="0.3">
      <c r="A6" s="3" t="str">
        <f>'Consumption Source'!A7</f>
        <v>Fruits &amp; Vegetables</v>
      </c>
      <c r="B6" s="3" t="str">
        <f>'Consumption Source'!B7</f>
        <v>Food, Beverages &amp; Tobacco</v>
      </c>
      <c r="C6" s="5">
        <f>'Consumption Source'!C7</f>
        <v>150855</v>
      </c>
      <c r="D6" s="5">
        <f>'Consumption Source'!D7</f>
        <v>171411</v>
      </c>
      <c r="E6" s="5">
        <f>'Consumption Source'!E7</f>
        <v>189724</v>
      </c>
      <c r="F6" s="5">
        <f>'Consumption Source'!F7</f>
        <v>216603</v>
      </c>
      <c r="G6" s="5">
        <f>'Consumption Source'!G7</f>
        <v>241989</v>
      </c>
      <c r="H6" s="5">
        <f>'Consumption Source'!H7</f>
        <v>268130</v>
      </c>
      <c r="I6" s="5">
        <f>'Consumption Source'!I7</f>
        <v>327152</v>
      </c>
    </row>
    <row r="7" spans="1:9" ht="13" x14ac:dyDescent="0.3">
      <c r="A7" s="3" t="str">
        <f>'Consumption Source'!A8</f>
        <v>Potato &amp; Other Tubers</v>
      </c>
      <c r="B7" s="3" t="str">
        <f>'Consumption Source'!B8</f>
        <v>Food, Beverages &amp; Tobacco</v>
      </c>
      <c r="C7" s="5">
        <f>'Consumption Source'!C8</f>
        <v>17046</v>
      </c>
      <c r="D7" s="5">
        <f>'Consumption Source'!D8</f>
        <v>20707</v>
      </c>
      <c r="E7" s="5">
        <f>'Consumption Source'!E8</f>
        <v>21309</v>
      </c>
      <c r="F7" s="5">
        <f>'Consumption Source'!F8</f>
        <v>30172</v>
      </c>
      <c r="G7" s="5">
        <f>'Consumption Source'!G8</f>
        <v>18839</v>
      </c>
      <c r="H7" s="5">
        <f>'Consumption Source'!H8</f>
        <v>50144</v>
      </c>
      <c r="I7" s="5">
        <f>'Consumption Source'!I8</f>
        <v>40765</v>
      </c>
    </row>
    <row r="8" spans="1:9" ht="13" x14ac:dyDescent="0.3">
      <c r="A8" s="3" t="str">
        <f>'Consumption Source'!A9</f>
        <v>Milk &amp; Milk Products</v>
      </c>
      <c r="B8" s="3" t="str">
        <f>'Consumption Source'!B9</f>
        <v>Food, Beverages &amp; Tobacco</v>
      </c>
      <c r="C8" s="5">
        <f>'Consumption Source'!C9</f>
        <v>134069</v>
      </c>
      <c r="D8" s="5">
        <f>'Consumption Source'!D9</f>
        <v>143542</v>
      </c>
      <c r="E8" s="5">
        <f>'Consumption Source'!E9</f>
        <v>156950</v>
      </c>
      <c r="F8" s="5">
        <f>'Consumption Source'!F9</f>
        <v>177822</v>
      </c>
      <c r="G8" s="5">
        <f>'Consumption Source'!G9</f>
        <v>208124</v>
      </c>
      <c r="H8" s="5">
        <f>'Consumption Source'!H9</f>
        <v>246311</v>
      </c>
      <c r="I8" s="5">
        <f>'Consumption Source'!I9</f>
        <v>285703</v>
      </c>
    </row>
    <row r="9" spans="1:9" ht="13" x14ac:dyDescent="0.3">
      <c r="A9" s="3" t="str">
        <f>'Consumption Source'!A10</f>
        <v>Meat, Egg &amp; Fish</v>
      </c>
      <c r="B9" s="3" t="str">
        <f>'Consumption Source'!B10</f>
        <v>Food, Beverages &amp; Tobacco</v>
      </c>
      <c r="C9" s="5">
        <f>'Consumption Source'!C10</f>
        <v>62424</v>
      </c>
      <c r="D9" s="5">
        <f>'Consumption Source'!D10</f>
        <v>70150</v>
      </c>
      <c r="E9" s="5">
        <f>'Consumption Source'!E10</f>
        <v>79645</v>
      </c>
      <c r="F9" s="5">
        <f>'Consumption Source'!F10</f>
        <v>88963</v>
      </c>
      <c r="G9" s="5">
        <f>'Consumption Source'!G10</f>
        <v>101087</v>
      </c>
      <c r="H9" s="5">
        <f>'Consumption Source'!H10</f>
        <v>121532</v>
      </c>
      <c r="I9" s="5">
        <f>'Consumption Source'!I10</f>
        <v>145361</v>
      </c>
    </row>
    <row r="10" spans="1:9" ht="13" x14ac:dyDescent="0.3">
      <c r="A10" s="3" t="str">
        <f>'Consumption Source'!A11</f>
        <v>Coffee, Tea &amp; Cocoa</v>
      </c>
      <c r="B10" s="3" t="str">
        <f>'Consumption Source'!B11</f>
        <v>Food, Beverages &amp; Tobacco</v>
      </c>
      <c r="C10" s="5">
        <f>'Consumption Source'!C11</f>
        <v>6153</v>
      </c>
      <c r="D10" s="5">
        <f>'Consumption Source'!D11</f>
        <v>6420</v>
      </c>
      <c r="E10" s="5">
        <f>'Consumption Source'!E11</f>
        <v>6768</v>
      </c>
      <c r="F10" s="5">
        <f>'Consumption Source'!F11</f>
        <v>7252</v>
      </c>
      <c r="G10" s="5">
        <f>'Consumption Source'!G11</f>
        <v>8478</v>
      </c>
      <c r="H10" s="5">
        <f>'Consumption Source'!H11</f>
        <v>10608</v>
      </c>
      <c r="I10" s="5">
        <f>'Consumption Source'!I11</f>
        <v>9927</v>
      </c>
    </row>
    <row r="11" spans="1:9" ht="13" x14ac:dyDescent="0.3">
      <c r="A11" s="3" t="str">
        <f>'Consumption Source'!A12</f>
        <v>Spices</v>
      </c>
      <c r="B11" s="3" t="str">
        <f>'Consumption Source'!B12</f>
        <v>Food, Beverages &amp; Tobacco</v>
      </c>
      <c r="C11" s="5">
        <f>'Consumption Source'!C12</f>
        <v>18213</v>
      </c>
      <c r="D11" s="5">
        <f>'Consumption Source'!D12</f>
        <v>19968</v>
      </c>
      <c r="E11" s="5">
        <f>'Consumption Source'!E12</f>
        <v>21887</v>
      </c>
      <c r="F11" s="5">
        <f>'Consumption Source'!F12</f>
        <v>23985</v>
      </c>
      <c r="G11" s="5">
        <f>'Consumption Source'!G12</f>
        <v>26280</v>
      </c>
      <c r="H11" s="5">
        <f>'Consumption Source'!H12</f>
        <v>28789</v>
      </c>
      <c r="I11" s="5">
        <f>'Consumption Source'!I12</f>
        <v>31531</v>
      </c>
    </row>
    <row r="12" spans="1:9" ht="13" x14ac:dyDescent="0.3">
      <c r="A12" s="3" t="str">
        <f>'Consumption Source'!A13</f>
        <v>Other Food</v>
      </c>
      <c r="B12" s="3" t="str">
        <f>'Consumption Source'!B13</f>
        <v>Food, Beverages &amp; Tobacco</v>
      </c>
      <c r="C12" s="5">
        <f>'Consumption Source'!C13</f>
        <v>9124</v>
      </c>
      <c r="D12" s="5">
        <f>'Consumption Source'!D13</f>
        <v>11545</v>
      </c>
      <c r="E12" s="5">
        <f>'Consumption Source'!E13</f>
        <v>14089</v>
      </c>
      <c r="F12" s="5">
        <f>'Consumption Source'!F13</f>
        <v>14279</v>
      </c>
      <c r="G12" s="5">
        <f>'Consumption Source'!G13</f>
        <v>15734</v>
      </c>
      <c r="H12" s="5">
        <f>'Consumption Source'!H13</f>
        <v>20645</v>
      </c>
      <c r="I12" s="5">
        <f>'Consumption Source'!I13</f>
        <v>23514</v>
      </c>
    </row>
    <row r="13" spans="1:9" ht="13" x14ac:dyDescent="0.3">
      <c r="A13" s="3" t="str">
        <f>'Consumption Source'!A14</f>
        <v>Beverages</v>
      </c>
      <c r="B13" s="3" t="str">
        <f>'Consumption Source'!B14</f>
        <v>Food, Beverages &amp; Tobacco</v>
      </c>
      <c r="C13" s="5">
        <f>'Consumption Source'!C14</f>
        <v>27049</v>
      </c>
      <c r="D13" s="5">
        <f>'Consumption Source'!D14</f>
        <v>32271</v>
      </c>
      <c r="E13" s="5">
        <f>'Consumption Source'!E14</f>
        <v>42562</v>
      </c>
      <c r="F13" s="5">
        <f>'Consumption Source'!F14</f>
        <v>56176</v>
      </c>
      <c r="G13" s="5">
        <f>'Consumption Source'!G14</f>
        <v>61457</v>
      </c>
      <c r="H13" s="5">
        <f>'Consumption Source'!H14</f>
        <v>62158</v>
      </c>
      <c r="I13" s="5">
        <f>'Consumption Source'!I14</f>
        <v>71819</v>
      </c>
    </row>
    <row r="14" spans="1:9" ht="13" x14ac:dyDescent="0.3">
      <c r="A14" s="3" t="str">
        <f>'Consumption Source'!A15</f>
        <v>Pan &amp; Other Intoxicants</v>
      </c>
      <c r="B14" s="3" t="str">
        <f>'Consumption Source'!B15</f>
        <v>Food, Beverages &amp; Tobacco</v>
      </c>
      <c r="C14" s="5">
        <f>'Consumption Source'!C15</f>
        <v>12148</v>
      </c>
      <c r="D14" s="5">
        <f>'Consumption Source'!D15</f>
        <v>13616</v>
      </c>
      <c r="E14" s="5">
        <f>'Consumption Source'!E15</f>
        <v>15948</v>
      </c>
      <c r="F14" s="5">
        <f>'Consumption Source'!F15</f>
        <v>16757</v>
      </c>
      <c r="G14" s="5">
        <f>'Consumption Source'!G15</f>
        <v>17056</v>
      </c>
      <c r="H14" s="5">
        <f>'Consumption Source'!H15</f>
        <v>17792</v>
      </c>
      <c r="I14" s="5">
        <f>'Consumption Source'!I15</f>
        <v>19559</v>
      </c>
    </row>
    <row r="15" spans="1:9" ht="13" x14ac:dyDescent="0.3">
      <c r="A15" s="3" t="str">
        <f>'Consumption Source'!A16</f>
        <v>Tobacco &amp; Its Products</v>
      </c>
      <c r="B15" s="3" t="str">
        <f>'Consumption Source'!B16</f>
        <v>Food, Beverages &amp; Tobacco</v>
      </c>
      <c r="C15" s="5">
        <f>'Consumption Source'!C16</f>
        <v>42341</v>
      </c>
      <c r="D15" s="5">
        <f>'Consumption Source'!D16</f>
        <v>46773</v>
      </c>
      <c r="E15" s="5">
        <f>'Consumption Source'!E16</f>
        <v>49171</v>
      </c>
      <c r="F15" s="5">
        <f>'Consumption Source'!F16</f>
        <v>49451</v>
      </c>
      <c r="G15" s="5">
        <f>'Consumption Source'!G16</f>
        <v>65848</v>
      </c>
      <c r="H15" s="5">
        <f>'Consumption Source'!H16</f>
        <v>72288</v>
      </c>
      <c r="I15" s="5">
        <f>'Consumption Source'!I16</f>
        <v>82634</v>
      </c>
    </row>
    <row r="16" spans="1:9" ht="13" x14ac:dyDescent="0.3">
      <c r="A16" s="3" t="str">
        <f>'Consumption Source'!A17</f>
        <v>Hotel &amp; Restaurants</v>
      </c>
      <c r="B16" s="3" t="str">
        <f>'Consumption Source'!B17</f>
        <v>Food, Beverages &amp; Tobacco</v>
      </c>
      <c r="C16" s="5">
        <f>'Consumption Source'!C17</f>
        <v>37598</v>
      </c>
      <c r="D16" s="5">
        <f>'Consumption Source'!D17</f>
        <v>49660</v>
      </c>
      <c r="E16" s="5">
        <f>'Consumption Source'!E17</f>
        <v>60559</v>
      </c>
      <c r="F16" s="5">
        <f>'Consumption Source'!F17</f>
        <v>72074</v>
      </c>
      <c r="G16" s="5">
        <f>'Consumption Source'!G17</f>
        <v>75741</v>
      </c>
      <c r="H16" s="5">
        <f>'Consumption Source'!H17</f>
        <v>81053</v>
      </c>
      <c r="I16" s="5">
        <f>'Consumption Source'!I17</f>
        <v>96310</v>
      </c>
    </row>
    <row r="17" spans="1:9" ht="13" x14ac:dyDescent="0.3">
      <c r="A17" s="3" t="str">
        <f>'Consumption Source'!A18</f>
        <v>Clothing</v>
      </c>
      <c r="B17" s="3" t="str">
        <f>'Consumption Source'!B18</f>
        <v>Clothing &amp; Footwear</v>
      </c>
      <c r="C17" s="5">
        <f>'Consumption Source'!C18</f>
        <v>108477</v>
      </c>
      <c r="D17" s="5">
        <f>'Consumption Source'!D18</f>
        <v>127098</v>
      </c>
      <c r="E17" s="5">
        <f>'Consumption Source'!E18</f>
        <v>162343</v>
      </c>
      <c r="F17" s="5">
        <f>'Consumption Source'!F18</f>
        <v>166799</v>
      </c>
      <c r="G17" s="5">
        <f>'Consumption Source'!G18</f>
        <v>181402</v>
      </c>
      <c r="H17" s="5">
        <f>'Consumption Source'!H18</f>
        <v>218184</v>
      </c>
      <c r="I17" s="5">
        <f>'Consumption Source'!I18</f>
        <v>260361</v>
      </c>
    </row>
    <row r="18" spans="1:9" ht="13" x14ac:dyDescent="0.3">
      <c r="A18" s="3" t="str">
        <f>'Consumption Source'!A19</f>
        <v>Footwear</v>
      </c>
      <c r="B18" s="3" t="str">
        <f>'Consumption Source'!B19</f>
        <v>Clothing &amp; Footwear</v>
      </c>
      <c r="C18" s="5">
        <f>'Consumption Source'!C19</f>
        <v>19352</v>
      </c>
      <c r="D18" s="5">
        <f>'Consumption Source'!D19</f>
        <v>24045</v>
      </c>
      <c r="E18" s="5">
        <f>'Consumption Source'!E19</f>
        <v>27250</v>
      </c>
      <c r="F18" s="5">
        <f>'Consumption Source'!F19</f>
        <v>37840</v>
      </c>
      <c r="G18" s="5">
        <f>'Consumption Source'!G19</f>
        <v>39259</v>
      </c>
      <c r="H18" s="5">
        <f>'Consumption Source'!H19</f>
        <v>48319</v>
      </c>
      <c r="I18" s="5">
        <f>'Consumption Source'!I19</f>
        <v>51955</v>
      </c>
    </row>
    <row r="19" spans="1:9" ht="13" x14ac:dyDescent="0.3">
      <c r="A19" s="3" t="str">
        <f>'Consumption Source'!A20</f>
        <v>Gross Rent &amp; Water Charges</v>
      </c>
      <c r="B19" s="3" t="str">
        <f>'Consumption Source'!B20</f>
        <v>Gross Rent, Fuel &amp; Power</v>
      </c>
      <c r="C19" s="5">
        <f>'Consumption Source'!C20</f>
        <v>181949</v>
      </c>
      <c r="D19" s="5">
        <f>'Consumption Source'!D20</f>
        <v>198190</v>
      </c>
      <c r="E19" s="5">
        <f>'Consumption Source'!E20</f>
        <v>225418</v>
      </c>
      <c r="F19" s="5">
        <f>'Consumption Source'!F20</f>
        <v>265150</v>
      </c>
      <c r="G19" s="5">
        <f>'Consumption Source'!G20</f>
        <v>317904</v>
      </c>
      <c r="H19" s="5">
        <f>'Consumption Source'!H20</f>
        <v>357704</v>
      </c>
      <c r="I19" s="5">
        <f>'Consumption Source'!I20</f>
        <v>425533</v>
      </c>
    </row>
    <row r="20" spans="1:9" ht="13" x14ac:dyDescent="0.3">
      <c r="A20" s="3" t="str">
        <f>'Consumption Source'!A22</f>
        <v>Electricity</v>
      </c>
      <c r="B20" s="3" t="str">
        <f>'Consumption Source'!B22</f>
        <v>Gross Rent, Fuel &amp; Power</v>
      </c>
      <c r="C20" s="5">
        <f>'Consumption Source'!C22</f>
        <v>18666</v>
      </c>
      <c r="D20" s="5">
        <f>'Consumption Source'!D22</f>
        <v>19384</v>
      </c>
      <c r="E20" s="5">
        <f>'Consumption Source'!E22</f>
        <v>22065</v>
      </c>
      <c r="F20" s="5">
        <f>'Consumption Source'!F22</f>
        <v>24572</v>
      </c>
      <c r="G20" s="5">
        <f>'Consumption Source'!G22</f>
        <v>26612</v>
      </c>
      <c r="H20" s="5">
        <f>'Consumption Source'!H22</f>
        <v>30087</v>
      </c>
      <c r="I20" s="5">
        <f>'Consumption Source'!I22</f>
        <v>34483</v>
      </c>
    </row>
    <row r="21" spans="1:9" ht="13" x14ac:dyDescent="0.3">
      <c r="A21" s="3" t="str">
        <f>'Consumption Source'!A23</f>
        <v>Liquified Petroleum Gas</v>
      </c>
      <c r="B21" s="3" t="str">
        <f>'Consumption Source'!B23</f>
        <v>Gross Rent, Fuel &amp; Power</v>
      </c>
      <c r="C21" s="5">
        <f>'Consumption Source'!C23</f>
        <v>16288</v>
      </c>
      <c r="D21" s="5">
        <f>'Consumption Source'!D23</f>
        <v>17941</v>
      </c>
      <c r="E21" s="5">
        <f>'Consumption Source'!E23</f>
        <v>18615</v>
      </c>
      <c r="F21" s="5">
        <f>'Consumption Source'!F23</f>
        <v>21506</v>
      </c>
      <c r="G21" s="5">
        <f>'Consumption Source'!G23</f>
        <v>21555</v>
      </c>
      <c r="H21" s="5">
        <f>'Consumption Source'!H23</f>
        <v>24221</v>
      </c>
      <c r="I21" s="5">
        <f>'Consumption Source'!I23</f>
        <v>27217</v>
      </c>
    </row>
    <row r="22" spans="1:9" ht="13" x14ac:dyDescent="0.3">
      <c r="A22" s="3" t="str">
        <f>'Consumption Source'!A24</f>
        <v>Kerosene Oil</v>
      </c>
      <c r="B22" s="3" t="str">
        <f>'Consumption Source'!B24</f>
        <v>Gross Rent, Fuel &amp; Power</v>
      </c>
      <c r="C22" s="5">
        <f>'Consumption Source'!C24</f>
        <v>8738</v>
      </c>
      <c r="D22" s="5">
        <f>'Consumption Source'!D24</f>
        <v>8865</v>
      </c>
      <c r="E22" s="5">
        <f>'Consumption Source'!E24</f>
        <v>8804</v>
      </c>
      <c r="F22" s="5">
        <f>'Consumption Source'!F24</f>
        <v>8674</v>
      </c>
      <c r="G22" s="5">
        <f>'Consumption Source'!G24</f>
        <v>8622</v>
      </c>
      <c r="H22" s="5">
        <f>'Consumption Source'!H24</f>
        <v>8773</v>
      </c>
      <c r="I22" s="5">
        <f>'Consumption Source'!I24</f>
        <v>8927</v>
      </c>
    </row>
    <row r="23" spans="1:9" ht="13" x14ac:dyDescent="0.3">
      <c r="A23" s="3" t="str">
        <f>'Consumption Source'!A25</f>
        <v>Other Fuel</v>
      </c>
      <c r="B23" s="3" t="str">
        <f>'Consumption Source'!B25</f>
        <v>Gross Rent, Fuel &amp; Power</v>
      </c>
      <c r="C23" s="5">
        <f>'Consumption Source'!C25</f>
        <v>40793</v>
      </c>
      <c r="D23" s="5">
        <f>'Consumption Source'!D25</f>
        <v>46458</v>
      </c>
      <c r="E23" s="5">
        <f>'Consumption Source'!E25</f>
        <v>54151</v>
      </c>
      <c r="F23" s="5">
        <f>'Consumption Source'!F25</f>
        <v>60135</v>
      </c>
      <c r="G23" s="5">
        <f>'Consumption Source'!G25</f>
        <v>69426</v>
      </c>
      <c r="H23" s="5">
        <f>'Consumption Source'!H25</f>
        <v>76761</v>
      </c>
      <c r="I23" s="5">
        <f>'Consumption Source'!I25</f>
        <v>84731</v>
      </c>
    </row>
    <row r="24" spans="1:9" ht="13" x14ac:dyDescent="0.3">
      <c r="A24" s="3" t="str">
        <f>'Consumption Source'!A26</f>
        <v>Furniture, Furnishing &amp; Repair</v>
      </c>
      <c r="B24" s="3" t="str">
        <f>'Consumption Source'!B26</f>
        <v>Furniture, Furnishings, Appliances &amp; Services</v>
      </c>
      <c r="C24" s="5">
        <f>'Consumption Source'!C26</f>
        <v>8404</v>
      </c>
      <c r="D24" s="5">
        <f>'Consumption Source'!D26</f>
        <v>10101</v>
      </c>
      <c r="E24" s="5">
        <f>'Consumption Source'!E26</f>
        <v>10954</v>
      </c>
      <c r="F24" s="5">
        <f>'Consumption Source'!F26</f>
        <v>12122</v>
      </c>
      <c r="G24" s="5">
        <f>'Consumption Source'!G26</f>
        <v>13537</v>
      </c>
      <c r="H24" s="5">
        <f>'Consumption Source'!H26</f>
        <v>18929</v>
      </c>
      <c r="I24" s="5">
        <f>'Consumption Source'!I26</f>
        <v>22012</v>
      </c>
    </row>
    <row r="25" spans="1:9" ht="13" x14ac:dyDescent="0.3">
      <c r="A25" s="3" t="str">
        <f>'Consumption Source'!A27</f>
        <v>Refrigerator, Cooking, Washing Appliances Etc</v>
      </c>
      <c r="B25" s="3" t="str">
        <f>'Consumption Source'!B27</f>
        <v>Furniture, Furnishings, Appliances &amp; Services</v>
      </c>
      <c r="C25" s="5">
        <f>'Consumption Source'!C27</f>
        <v>13409</v>
      </c>
      <c r="D25" s="5">
        <f>'Consumption Source'!D27</f>
        <v>17518</v>
      </c>
      <c r="E25" s="5">
        <f>'Consumption Source'!E27</f>
        <v>22239</v>
      </c>
      <c r="F25" s="5">
        <f>'Consumption Source'!F27</f>
        <v>27905</v>
      </c>
      <c r="G25" s="5">
        <f>'Consumption Source'!G27</f>
        <v>32903</v>
      </c>
      <c r="H25" s="5">
        <f>'Consumption Source'!H27</f>
        <v>35414</v>
      </c>
      <c r="I25" s="5">
        <f>'Consumption Source'!I27</f>
        <v>44838</v>
      </c>
    </row>
    <row r="26" spans="1:9" ht="13" x14ac:dyDescent="0.3">
      <c r="A26" s="3" t="str">
        <f>'Consumption Source'!A28</f>
        <v>Glassware, Tableware &amp; Utensils</v>
      </c>
      <c r="B26" s="3" t="str">
        <f>'Consumption Source'!B28</f>
        <v>Furniture, Furnishings, Appliances &amp; Services</v>
      </c>
      <c r="C26" s="5">
        <f>'Consumption Source'!C28</f>
        <v>15462</v>
      </c>
      <c r="D26" s="5">
        <f>'Consumption Source'!D28</f>
        <v>17362</v>
      </c>
      <c r="E26" s="5">
        <f>'Consumption Source'!E28</f>
        <v>22818</v>
      </c>
      <c r="F26" s="5">
        <f>'Consumption Source'!F28</f>
        <v>29309</v>
      </c>
      <c r="G26" s="5">
        <f>'Consumption Source'!G28</f>
        <v>36300</v>
      </c>
      <c r="H26" s="5">
        <f>'Consumption Source'!H28</f>
        <v>38033</v>
      </c>
      <c r="I26" s="5">
        <f>'Consumption Source'!I28</f>
        <v>43156</v>
      </c>
    </row>
    <row r="27" spans="1:9" ht="13" x14ac:dyDescent="0.3">
      <c r="A27" s="3" t="str">
        <f>'Consumption Source'!A29</f>
        <v>Other Goods</v>
      </c>
      <c r="B27" s="3" t="str">
        <f>'Consumption Source'!B29</f>
        <v>Furniture, Furnishings, Appliances &amp; Services</v>
      </c>
      <c r="C27" s="5">
        <f>'Consumption Source'!C29</f>
        <v>17067</v>
      </c>
      <c r="D27" s="5">
        <f>'Consumption Source'!D29</f>
        <v>19773</v>
      </c>
      <c r="E27" s="5">
        <f>'Consumption Source'!E29</f>
        <v>24001</v>
      </c>
      <c r="F27" s="5">
        <f>'Consumption Source'!F29</f>
        <v>27186</v>
      </c>
      <c r="G27" s="5">
        <f>'Consumption Source'!G29</f>
        <v>29784</v>
      </c>
      <c r="H27" s="5">
        <f>'Consumption Source'!H29</f>
        <v>33813</v>
      </c>
      <c r="I27" s="5">
        <f>'Consumption Source'!I29</f>
        <v>38008</v>
      </c>
    </row>
    <row r="28" spans="1:9" ht="13" x14ac:dyDescent="0.3">
      <c r="A28" s="3" t="str">
        <f>'Consumption Source'!A30</f>
        <v>Services</v>
      </c>
      <c r="B28" s="3" t="str">
        <f>'Consumption Source'!B30</f>
        <v>Furniture, Furnishings, Appliances &amp; Services</v>
      </c>
      <c r="C28" s="5">
        <f>'Consumption Source'!C30</f>
        <v>10832</v>
      </c>
      <c r="D28" s="5">
        <f>'Consumption Source'!D30</f>
        <v>12054</v>
      </c>
      <c r="E28" s="5">
        <f>'Consumption Source'!E30</f>
        <v>13801</v>
      </c>
      <c r="F28" s="5">
        <f>'Consumption Source'!F30</f>
        <v>15747</v>
      </c>
      <c r="G28" s="5">
        <f>'Consumption Source'!G30</f>
        <v>18446</v>
      </c>
      <c r="H28" s="5">
        <f>'Consumption Source'!H30</f>
        <v>22296</v>
      </c>
      <c r="I28" s="5">
        <f>'Consumption Source'!I30</f>
        <v>26408</v>
      </c>
    </row>
    <row r="29" spans="1:9" ht="13" x14ac:dyDescent="0.3">
      <c r="A29" s="3" t="str">
        <f>'Consumption Source'!A31</f>
        <v>Medical Care &amp; Health Services</v>
      </c>
      <c r="B29" s="3" t="str">
        <f>'Consumption Source'!B31</f>
        <v>Medical Care &amp; Health Services</v>
      </c>
      <c r="C29" s="5">
        <f>'Consumption Source'!C31</f>
        <v>95560</v>
      </c>
      <c r="D29" s="5">
        <f>'Consumption Source'!D31</f>
        <v>105244</v>
      </c>
      <c r="E29" s="5">
        <f>'Consumption Source'!E31</f>
        <v>115900</v>
      </c>
      <c r="F29" s="5">
        <f>'Consumption Source'!F31</f>
        <v>127648</v>
      </c>
      <c r="G29" s="5">
        <f>'Consumption Source'!G31</f>
        <v>140595</v>
      </c>
      <c r="H29" s="5">
        <f>'Consumption Source'!H31</f>
        <v>154872</v>
      </c>
      <c r="I29" s="5">
        <f>'Consumption Source'!I31</f>
        <v>170599</v>
      </c>
    </row>
    <row r="30" spans="1:9" ht="13" x14ac:dyDescent="0.3">
      <c r="A30" s="3" t="str">
        <f>'Consumption Source'!A32</f>
        <v>Personal Transport Equipment</v>
      </c>
      <c r="B30" s="3" t="str">
        <f>'Consumption Source'!B32</f>
        <v>Transport &amp; Communication</v>
      </c>
      <c r="C30" s="5">
        <f>'Consumption Source'!C32</f>
        <v>35995</v>
      </c>
      <c r="D30" s="5">
        <f>'Consumption Source'!D32</f>
        <v>33075</v>
      </c>
      <c r="E30" s="5">
        <f>'Consumption Source'!E32</f>
        <v>38915</v>
      </c>
      <c r="F30" s="5">
        <f>'Consumption Source'!F32</f>
        <v>42151</v>
      </c>
      <c r="G30" s="5">
        <f>'Consumption Source'!G32</f>
        <v>46189</v>
      </c>
      <c r="H30" s="5">
        <f>'Consumption Source'!H32</f>
        <v>60306</v>
      </c>
      <c r="I30" s="5">
        <f>'Consumption Source'!I32</f>
        <v>79441</v>
      </c>
    </row>
    <row r="31" spans="1:9" ht="13" x14ac:dyDescent="0.3">
      <c r="A31" s="3" t="str">
        <f>'Consumption Source'!A33</f>
        <v>Operation Of Personal  Transport Equipment</v>
      </c>
      <c r="B31" s="3" t="str">
        <f>'Consumption Source'!B33</f>
        <v>Transport &amp; Communication</v>
      </c>
      <c r="C31" s="5">
        <f>'Consumption Source'!C33</f>
        <v>124528</v>
      </c>
      <c r="D31" s="5">
        <f>'Consumption Source'!D33</f>
        <v>143977</v>
      </c>
      <c r="E31" s="5">
        <f>'Consumption Source'!E33</f>
        <v>164738</v>
      </c>
      <c r="F31" s="5">
        <f>'Consumption Source'!F33</f>
        <v>169507</v>
      </c>
      <c r="G31" s="5">
        <f>'Consumption Source'!G33</f>
        <v>189508</v>
      </c>
      <c r="H31" s="5">
        <f>'Consumption Source'!H33</f>
        <v>194413</v>
      </c>
      <c r="I31" s="5">
        <f>'Consumption Source'!I33</f>
        <v>236681</v>
      </c>
    </row>
    <row r="32" spans="1:9" ht="13" x14ac:dyDescent="0.3">
      <c r="A32" s="3" t="str">
        <f>'Consumption Source'!A34</f>
        <v>Purchase Of Transport Services</v>
      </c>
      <c r="B32" s="3" t="str">
        <f>'Consumption Source'!B34</f>
        <v>Transport &amp; Communication</v>
      </c>
      <c r="C32" s="5">
        <f>'Consumption Source'!C34</f>
        <v>180040</v>
      </c>
      <c r="D32" s="5">
        <f>'Consumption Source'!D34</f>
        <v>197637</v>
      </c>
      <c r="E32" s="5">
        <f>'Consumption Source'!E34</f>
        <v>225082</v>
      </c>
      <c r="F32" s="5">
        <f>'Consumption Source'!F34</f>
        <v>247159</v>
      </c>
      <c r="G32" s="5">
        <f>'Consumption Source'!G34</f>
        <v>276053</v>
      </c>
      <c r="H32" s="5">
        <f>'Consumption Source'!H34</f>
        <v>307516</v>
      </c>
      <c r="I32" s="5">
        <f>'Consumption Source'!I34</f>
        <v>357111</v>
      </c>
    </row>
    <row r="33" spans="1:9" ht="13" x14ac:dyDescent="0.3">
      <c r="A33" s="3" t="str">
        <f>'Consumption Source'!A35</f>
        <v>Communication</v>
      </c>
      <c r="B33" s="3" t="str">
        <f>'Consumption Source'!B35</f>
        <v>Transport &amp; Communication</v>
      </c>
      <c r="C33" s="5">
        <f>'Consumption Source'!C35</f>
        <v>31237</v>
      </c>
      <c r="D33" s="5">
        <f>'Consumption Source'!D35</f>
        <v>36925</v>
      </c>
      <c r="E33" s="5">
        <f>'Consumption Source'!E35</f>
        <v>43656</v>
      </c>
      <c r="F33" s="5">
        <f>'Consumption Source'!F35</f>
        <v>50806</v>
      </c>
      <c r="G33" s="5">
        <f>'Consumption Source'!G35</f>
        <v>58341</v>
      </c>
      <c r="H33" s="5">
        <f>'Consumption Source'!H35</f>
        <v>68016</v>
      </c>
      <c r="I33" s="5">
        <f>'Consumption Source'!I35</f>
        <v>74508</v>
      </c>
    </row>
    <row r="34" spans="1:9" ht="13" x14ac:dyDescent="0.3">
      <c r="A34" s="3" t="str">
        <f>'Consumption Source'!A36</f>
        <v>Equipment, Paper &amp; Stationery</v>
      </c>
      <c r="B34" s="3" t="str">
        <f>'Consumption Source'!B36</f>
        <v>Recreation, Education &amp; Cultural Services</v>
      </c>
      <c r="C34" s="5">
        <f>'Consumption Source'!C36</f>
        <v>22522</v>
      </c>
      <c r="D34" s="5">
        <f>'Consumption Source'!D36</f>
        <v>27292</v>
      </c>
      <c r="E34" s="5">
        <f>'Consumption Source'!E36</f>
        <v>31994</v>
      </c>
      <c r="F34" s="5">
        <f>'Consumption Source'!F36</f>
        <v>38338</v>
      </c>
      <c r="G34" s="5">
        <f>'Consumption Source'!G36</f>
        <v>44277</v>
      </c>
      <c r="H34" s="5">
        <f>'Consumption Source'!H36</f>
        <v>48934</v>
      </c>
      <c r="I34" s="5">
        <f>'Consumption Source'!I36</f>
        <v>55582</v>
      </c>
    </row>
    <row r="35" spans="1:9" ht="13" x14ac:dyDescent="0.3">
      <c r="A35" s="3" t="str">
        <f>'Consumption Source'!A37</f>
        <v>Recreation &amp; Cultural Services</v>
      </c>
      <c r="B35" s="3" t="str">
        <f>'Consumption Source'!B37</f>
        <v>Recreation, Education &amp; Cultural Services</v>
      </c>
      <c r="C35" s="5">
        <f>'Consumption Source'!C37</f>
        <v>2136</v>
      </c>
      <c r="D35" s="5">
        <f>'Consumption Source'!D37</f>
        <v>1419</v>
      </c>
      <c r="E35" s="5">
        <f>'Consumption Source'!E37</f>
        <v>1567</v>
      </c>
      <c r="F35" s="5">
        <f>'Consumption Source'!F37</f>
        <v>1766</v>
      </c>
      <c r="G35" s="5">
        <f>'Consumption Source'!G37</f>
        <v>2215</v>
      </c>
      <c r="H35" s="5">
        <f>'Consumption Source'!H37</f>
        <v>2124</v>
      </c>
      <c r="I35" s="5">
        <f>'Consumption Source'!I37</f>
        <v>2627</v>
      </c>
    </row>
    <row r="36" spans="1:9" ht="13" x14ac:dyDescent="0.3">
      <c r="A36" s="3" t="str">
        <f>'Consumption Source'!A38</f>
        <v>Education</v>
      </c>
      <c r="B36" s="3" t="str">
        <f>'Consumption Source'!B38</f>
        <v>Recreation, Education &amp; Cultural Services</v>
      </c>
      <c r="C36" s="5">
        <f>'Consumption Source'!C38</f>
        <v>32555</v>
      </c>
      <c r="D36" s="5">
        <f>'Consumption Source'!D38</f>
        <v>36762</v>
      </c>
      <c r="E36" s="5">
        <f>'Consumption Source'!E38</f>
        <v>40798</v>
      </c>
      <c r="F36" s="5">
        <f>'Consumption Source'!F38</f>
        <v>44539</v>
      </c>
      <c r="G36" s="5">
        <f>'Consumption Source'!G38</f>
        <v>48624</v>
      </c>
      <c r="H36" s="5">
        <f>'Consumption Source'!H38</f>
        <v>53088</v>
      </c>
      <c r="I36" s="5">
        <f>'Consumption Source'!I38</f>
        <v>57963</v>
      </c>
    </row>
    <row r="37" spans="1:9" ht="13" x14ac:dyDescent="0.3">
      <c r="A37" s="3" t="str">
        <f>'Consumption Source'!A39</f>
        <v>Personal Care &amp; Effects</v>
      </c>
      <c r="B37" s="3" t="str">
        <f>'Consumption Source'!B39</f>
        <v>Miscellaneous Goods &amp; Services</v>
      </c>
      <c r="C37" s="5">
        <f>'Consumption Source'!C39</f>
        <v>52082</v>
      </c>
      <c r="D37" s="5">
        <f>'Consumption Source'!D39</f>
        <v>60506</v>
      </c>
      <c r="E37" s="5">
        <f>'Consumption Source'!E39</f>
        <v>70539</v>
      </c>
      <c r="F37" s="5">
        <f>'Consumption Source'!F39</f>
        <v>82047</v>
      </c>
      <c r="G37" s="5">
        <f>'Consumption Source'!G39</f>
        <v>98144</v>
      </c>
      <c r="H37" s="5">
        <f>'Consumption Source'!H39</f>
        <v>121937</v>
      </c>
      <c r="I37" s="5">
        <f>'Consumption Source'!I39</f>
        <v>148724</v>
      </c>
    </row>
    <row r="38" spans="1:9" ht="13" x14ac:dyDescent="0.3">
      <c r="A38" s="3" t="str">
        <f>'Consumption Source'!A40</f>
        <v>Personal Goods N.E.C.</v>
      </c>
      <c r="B38" s="3" t="str">
        <f>'Consumption Source'!B40</f>
        <v>Miscellaneous Goods &amp; Services</v>
      </c>
      <c r="C38" s="5">
        <f>'Consumption Source'!C40</f>
        <v>30445</v>
      </c>
      <c r="D38" s="5">
        <f>'Consumption Source'!D40</f>
        <v>35587</v>
      </c>
      <c r="E38" s="5">
        <f>'Consumption Source'!E40</f>
        <v>41438</v>
      </c>
      <c r="F38" s="5">
        <f>'Consumption Source'!F40</f>
        <v>47269</v>
      </c>
      <c r="G38" s="5">
        <f>'Consumption Source'!G40</f>
        <v>57653</v>
      </c>
      <c r="H38" s="5">
        <f>'Consumption Source'!H40</f>
        <v>70112</v>
      </c>
      <c r="I38" s="5">
        <f>'Consumption Source'!I40</f>
        <v>73890</v>
      </c>
    </row>
    <row r="39" spans="1:9" ht="13" x14ac:dyDescent="0.3">
      <c r="A39" s="3" t="str">
        <f>'Consumption Source'!A41</f>
        <v>Other Miscellaneous Services</v>
      </c>
      <c r="B39" s="3" t="str">
        <f>'Consumption Source'!B41</f>
        <v>Miscellaneous Goods &amp; Services</v>
      </c>
      <c r="C39" s="5">
        <f>'Consumption Source'!C41</f>
        <v>89555</v>
      </c>
      <c r="D39" s="5">
        <f>'Consumption Source'!D41</f>
        <v>105768</v>
      </c>
      <c r="E39" s="5">
        <f>'Consumption Source'!E41</f>
        <v>144643</v>
      </c>
      <c r="F39" s="5">
        <f>'Consumption Source'!F41</f>
        <v>213236</v>
      </c>
      <c r="G39" s="5">
        <f>'Consumption Source'!G41</f>
        <v>289983</v>
      </c>
      <c r="H39" s="5">
        <f>'Consumption Source'!H41</f>
        <v>355869</v>
      </c>
      <c r="I39" s="5">
        <f>'Consumption Source'!I41</f>
        <v>440503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8CA7-42E6-4EA0-9D74-AD72A85B59B5}">
  <dimension ref="A1:I42"/>
  <sheetViews>
    <sheetView topLeftCell="A28" workbookViewId="0">
      <selection activeCell="A42" sqref="A42"/>
    </sheetView>
  </sheetViews>
  <sheetFormatPr defaultRowHeight="12.5" x14ac:dyDescent="0.25"/>
  <cols>
    <col min="1" max="1" width="36.6640625" customWidth="1"/>
    <col min="2" max="2" width="40" customWidth="1"/>
    <col min="3" max="9" width="13.33203125" customWidth="1"/>
  </cols>
  <sheetData>
    <row r="1" spans="1:9" ht="13" x14ac:dyDescent="0.2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3" x14ac:dyDescent="0.25">
      <c r="A2" s="1" t="s">
        <v>9</v>
      </c>
      <c r="B2" s="1" t="s">
        <v>10</v>
      </c>
      <c r="C2" s="1">
        <v>650364</v>
      </c>
      <c r="D2" s="1">
        <v>714236</v>
      </c>
      <c r="E2" s="1">
        <v>788719</v>
      </c>
      <c r="F2" s="1">
        <v>894525</v>
      </c>
      <c r="G2" s="1">
        <v>990511</v>
      </c>
      <c r="H2" s="1">
        <v>1139024</v>
      </c>
      <c r="I2" s="1">
        <v>1324212</v>
      </c>
    </row>
    <row r="3" spans="1:9" ht="13" x14ac:dyDescent="0.25">
      <c r="A3" s="1" t="s">
        <v>11</v>
      </c>
      <c r="B3" s="1" t="s">
        <v>10</v>
      </c>
      <c r="C3" s="1">
        <v>165490.30376000001</v>
      </c>
      <c r="D3" s="1">
        <v>180320.21681000001</v>
      </c>
      <c r="E3" s="1">
        <v>202451.81974000001</v>
      </c>
      <c r="F3" s="1">
        <v>229799.10665999999</v>
      </c>
      <c r="G3" s="1">
        <v>249839.2873</v>
      </c>
      <c r="H3" s="1">
        <v>251207.67434</v>
      </c>
      <c r="I3" s="1">
        <v>292631.32893000002</v>
      </c>
    </row>
    <row r="4" spans="1:9" ht="13" x14ac:dyDescent="0.25">
      <c r="A4" s="1" t="s">
        <v>12</v>
      </c>
      <c r="B4" s="1" t="s">
        <v>10</v>
      </c>
      <c r="C4" s="1">
        <v>15872.696236</v>
      </c>
      <c r="D4" s="1">
        <v>19014.783187000001</v>
      </c>
      <c r="E4" s="1">
        <v>23713.180259000001</v>
      </c>
      <c r="F4" s="1">
        <v>26452.893338000002</v>
      </c>
      <c r="G4" s="1">
        <v>29049.712697999999</v>
      </c>
      <c r="H4" s="1">
        <v>33203.325664000004</v>
      </c>
      <c r="I4" s="1">
        <v>40610.671072999998</v>
      </c>
    </row>
    <row r="5" spans="1:9" ht="13" x14ac:dyDescent="0.25">
      <c r="A5" s="1" t="s">
        <v>13</v>
      </c>
      <c r="B5" s="1" t="s">
        <v>10</v>
      </c>
      <c r="C5" s="1">
        <v>33339</v>
      </c>
      <c r="D5" s="1">
        <v>36852</v>
      </c>
      <c r="E5" s="1">
        <v>38589</v>
      </c>
      <c r="F5" s="1">
        <v>37627</v>
      </c>
      <c r="G5" s="1">
        <v>45834</v>
      </c>
      <c r="H5" s="1">
        <v>64235</v>
      </c>
      <c r="I5" s="1">
        <v>71859</v>
      </c>
    </row>
    <row r="6" spans="1:9" ht="13" x14ac:dyDescent="0.25">
      <c r="A6" s="1" t="s">
        <v>14</v>
      </c>
      <c r="B6" s="1" t="s">
        <v>10</v>
      </c>
      <c r="C6" s="1">
        <v>37778</v>
      </c>
      <c r="D6" s="1">
        <v>34306</v>
      </c>
      <c r="E6" s="1">
        <v>33593</v>
      </c>
      <c r="F6" s="1">
        <v>41570</v>
      </c>
      <c r="G6" s="1">
        <v>45257</v>
      </c>
      <c r="H6" s="1">
        <v>44219</v>
      </c>
      <c r="I6" s="1">
        <v>55158</v>
      </c>
    </row>
    <row r="7" spans="1:9" ht="13" x14ac:dyDescent="0.25">
      <c r="A7" s="1" t="s">
        <v>15</v>
      </c>
      <c r="B7" s="1" t="s">
        <v>10</v>
      </c>
      <c r="C7" s="1">
        <v>150855</v>
      </c>
      <c r="D7" s="1">
        <v>171411</v>
      </c>
      <c r="E7" s="1">
        <v>189724</v>
      </c>
      <c r="F7" s="1">
        <v>216603</v>
      </c>
      <c r="G7" s="1">
        <v>241989</v>
      </c>
      <c r="H7" s="1">
        <v>268130</v>
      </c>
      <c r="I7" s="1">
        <v>327152</v>
      </c>
    </row>
    <row r="8" spans="1:9" ht="13" x14ac:dyDescent="0.25">
      <c r="A8" s="1" t="s">
        <v>16</v>
      </c>
      <c r="B8" s="1" t="s">
        <v>10</v>
      </c>
      <c r="C8" s="1">
        <v>17046</v>
      </c>
      <c r="D8" s="1">
        <v>20707</v>
      </c>
      <c r="E8" s="1">
        <v>21309</v>
      </c>
      <c r="F8" s="1">
        <v>30172</v>
      </c>
      <c r="G8" s="1">
        <v>18839</v>
      </c>
      <c r="H8" s="1">
        <v>50144</v>
      </c>
      <c r="I8" s="1">
        <v>40765</v>
      </c>
    </row>
    <row r="9" spans="1:9" ht="13" x14ac:dyDescent="0.25">
      <c r="A9" s="1" t="s">
        <v>17</v>
      </c>
      <c r="B9" s="1" t="s">
        <v>10</v>
      </c>
      <c r="C9" s="1">
        <v>134069</v>
      </c>
      <c r="D9" s="1">
        <v>143542</v>
      </c>
      <c r="E9" s="1">
        <v>156950</v>
      </c>
      <c r="F9" s="1">
        <v>177822</v>
      </c>
      <c r="G9" s="1">
        <v>208124</v>
      </c>
      <c r="H9" s="1">
        <v>246311</v>
      </c>
      <c r="I9" s="1">
        <v>285703</v>
      </c>
    </row>
    <row r="10" spans="1:9" ht="13" x14ac:dyDescent="0.25">
      <c r="A10" s="1" t="s">
        <v>18</v>
      </c>
      <c r="B10" s="1" t="s">
        <v>10</v>
      </c>
      <c r="C10" s="1">
        <v>62424</v>
      </c>
      <c r="D10" s="1">
        <v>70150</v>
      </c>
      <c r="E10" s="1">
        <v>79645</v>
      </c>
      <c r="F10" s="1">
        <v>88963</v>
      </c>
      <c r="G10" s="1">
        <v>101087</v>
      </c>
      <c r="H10" s="1">
        <v>121532</v>
      </c>
      <c r="I10" s="1">
        <v>145361</v>
      </c>
    </row>
    <row r="11" spans="1:9" ht="13" x14ac:dyDescent="0.25">
      <c r="A11" s="1" t="s">
        <v>19</v>
      </c>
      <c r="B11" s="1" t="s">
        <v>10</v>
      </c>
      <c r="C11" s="1">
        <v>6153</v>
      </c>
      <c r="D11" s="1">
        <v>6420</v>
      </c>
      <c r="E11" s="1">
        <v>6768</v>
      </c>
      <c r="F11" s="1">
        <v>7252</v>
      </c>
      <c r="G11" s="1">
        <v>8478</v>
      </c>
      <c r="H11" s="1">
        <v>10608</v>
      </c>
      <c r="I11" s="1">
        <v>9927</v>
      </c>
    </row>
    <row r="12" spans="1:9" ht="13" x14ac:dyDescent="0.25">
      <c r="A12" s="1" t="s">
        <v>20</v>
      </c>
      <c r="B12" s="1" t="s">
        <v>10</v>
      </c>
      <c r="C12" s="1">
        <v>18213</v>
      </c>
      <c r="D12" s="1">
        <v>19968</v>
      </c>
      <c r="E12" s="1">
        <v>21887</v>
      </c>
      <c r="F12" s="1">
        <v>23985</v>
      </c>
      <c r="G12" s="1">
        <v>26280</v>
      </c>
      <c r="H12" s="1">
        <v>28789</v>
      </c>
      <c r="I12" s="1">
        <v>31531</v>
      </c>
    </row>
    <row r="13" spans="1:9" ht="13" x14ac:dyDescent="0.25">
      <c r="A13" s="1" t="s">
        <v>21</v>
      </c>
      <c r="B13" s="1" t="s">
        <v>10</v>
      </c>
      <c r="C13" s="1">
        <v>9124</v>
      </c>
      <c r="D13" s="1">
        <v>11545</v>
      </c>
      <c r="E13" s="1">
        <v>14089</v>
      </c>
      <c r="F13" s="1">
        <v>14279</v>
      </c>
      <c r="G13" s="1">
        <v>15734</v>
      </c>
      <c r="H13" s="1">
        <v>20645</v>
      </c>
      <c r="I13" s="1">
        <v>23514</v>
      </c>
    </row>
    <row r="14" spans="1:9" ht="13" x14ac:dyDescent="0.25">
      <c r="A14" s="1" t="s">
        <v>22</v>
      </c>
      <c r="B14" s="1" t="s">
        <v>10</v>
      </c>
      <c r="C14" s="1">
        <v>27049</v>
      </c>
      <c r="D14" s="1">
        <v>32271</v>
      </c>
      <c r="E14" s="1">
        <v>42562</v>
      </c>
      <c r="F14" s="1">
        <v>56176</v>
      </c>
      <c r="G14" s="1">
        <v>61457</v>
      </c>
      <c r="H14" s="1">
        <v>62158</v>
      </c>
      <c r="I14" s="1">
        <v>71819</v>
      </c>
    </row>
    <row r="15" spans="1:9" ht="13" x14ac:dyDescent="0.25">
      <c r="A15" s="1" t="s">
        <v>23</v>
      </c>
      <c r="B15" s="1" t="s">
        <v>10</v>
      </c>
      <c r="C15" s="1">
        <v>12148</v>
      </c>
      <c r="D15" s="1">
        <v>13616</v>
      </c>
      <c r="E15" s="1">
        <v>15948</v>
      </c>
      <c r="F15" s="1">
        <v>16757</v>
      </c>
      <c r="G15" s="1">
        <v>17056</v>
      </c>
      <c r="H15" s="1">
        <v>17792</v>
      </c>
      <c r="I15" s="1">
        <v>19559</v>
      </c>
    </row>
    <row r="16" spans="1:9" ht="13" x14ac:dyDescent="0.25">
      <c r="A16" s="1" t="s">
        <v>24</v>
      </c>
      <c r="B16" s="1" t="s">
        <v>10</v>
      </c>
      <c r="C16" s="1">
        <v>42341</v>
      </c>
      <c r="D16" s="1">
        <v>46773</v>
      </c>
      <c r="E16" s="1">
        <v>49171</v>
      </c>
      <c r="F16" s="1">
        <v>49451</v>
      </c>
      <c r="G16" s="1">
        <v>65848</v>
      </c>
      <c r="H16" s="1">
        <v>72288</v>
      </c>
      <c r="I16" s="1">
        <v>82634</v>
      </c>
    </row>
    <row r="17" spans="1:9" ht="13" x14ac:dyDescent="0.25">
      <c r="A17" s="1" t="s">
        <v>25</v>
      </c>
      <c r="B17" s="1" t="s">
        <v>10</v>
      </c>
      <c r="C17" s="1">
        <v>37598</v>
      </c>
      <c r="D17" s="1">
        <v>49660</v>
      </c>
      <c r="E17" s="1">
        <v>60559</v>
      </c>
      <c r="F17" s="1">
        <v>72074</v>
      </c>
      <c r="G17" s="1">
        <v>75741</v>
      </c>
      <c r="H17" s="1">
        <v>81053</v>
      </c>
      <c r="I17" s="1">
        <v>96310</v>
      </c>
    </row>
    <row r="18" spans="1:9" ht="13" x14ac:dyDescent="0.25">
      <c r="A18" s="1" t="s">
        <v>26</v>
      </c>
      <c r="B18" s="1" t="s">
        <v>27</v>
      </c>
      <c r="C18" s="1">
        <v>108477</v>
      </c>
      <c r="D18" s="1">
        <v>127098</v>
      </c>
      <c r="E18" s="1">
        <v>162343</v>
      </c>
      <c r="F18" s="1">
        <v>166799</v>
      </c>
      <c r="G18" s="1">
        <v>181402</v>
      </c>
      <c r="H18" s="1">
        <v>218184</v>
      </c>
      <c r="I18" s="1">
        <v>260361</v>
      </c>
    </row>
    <row r="19" spans="1:9" ht="13" x14ac:dyDescent="0.25">
      <c r="A19" s="1" t="s">
        <v>28</v>
      </c>
      <c r="B19" s="1" t="s">
        <v>27</v>
      </c>
      <c r="C19" s="1">
        <v>19352</v>
      </c>
      <c r="D19" s="1">
        <v>24045</v>
      </c>
      <c r="E19" s="1">
        <v>27250</v>
      </c>
      <c r="F19" s="1">
        <v>37840</v>
      </c>
      <c r="G19" s="1">
        <v>39259</v>
      </c>
      <c r="H19" s="1">
        <v>48319</v>
      </c>
      <c r="I19" s="1">
        <v>51955</v>
      </c>
    </row>
    <row r="20" spans="1:9" ht="13" x14ac:dyDescent="0.25">
      <c r="A20" s="1" t="s">
        <v>29</v>
      </c>
      <c r="B20" s="1" t="s">
        <v>30</v>
      </c>
      <c r="C20" s="1">
        <v>181949</v>
      </c>
      <c r="D20" s="1">
        <v>198190</v>
      </c>
      <c r="E20" s="1">
        <v>225418</v>
      </c>
      <c r="F20" s="1">
        <v>265150</v>
      </c>
      <c r="G20" s="1">
        <v>317904</v>
      </c>
      <c r="H20" s="1">
        <v>357704</v>
      </c>
      <c r="I20" s="1">
        <v>425533</v>
      </c>
    </row>
    <row r="21" spans="1:9" ht="13" x14ac:dyDescent="0.25">
      <c r="A21" s="1" t="s">
        <v>31</v>
      </c>
      <c r="B21" s="1" t="s">
        <v>30</v>
      </c>
      <c r="C21" s="1">
        <v>84485</v>
      </c>
      <c r="D21" s="1">
        <v>92648</v>
      </c>
      <c r="E21" s="1">
        <v>103635</v>
      </c>
      <c r="F21" s="1">
        <v>114887</v>
      </c>
      <c r="G21" s="1">
        <v>126215</v>
      </c>
      <c r="H21" s="1">
        <v>139842</v>
      </c>
      <c r="I21" s="1">
        <v>155358</v>
      </c>
    </row>
    <row r="22" spans="1:9" ht="13" x14ac:dyDescent="0.25">
      <c r="A22" s="1" t="s">
        <v>32</v>
      </c>
      <c r="B22" s="1" t="s">
        <v>30</v>
      </c>
      <c r="C22" s="1">
        <v>18666</v>
      </c>
      <c r="D22" s="1">
        <v>19384</v>
      </c>
      <c r="E22" s="1">
        <v>22065</v>
      </c>
      <c r="F22" s="1">
        <v>24572</v>
      </c>
      <c r="G22" s="1">
        <v>26612</v>
      </c>
      <c r="H22" s="1">
        <v>30087</v>
      </c>
      <c r="I22" s="1">
        <v>34483</v>
      </c>
    </row>
    <row r="23" spans="1:9" ht="13" x14ac:dyDescent="0.25">
      <c r="A23" s="1" t="s">
        <v>33</v>
      </c>
      <c r="B23" s="1" t="s">
        <v>30</v>
      </c>
      <c r="C23" s="1">
        <v>16288</v>
      </c>
      <c r="D23" s="1">
        <v>17941</v>
      </c>
      <c r="E23" s="1">
        <v>18615</v>
      </c>
      <c r="F23" s="1">
        <v>21506</v>
      </c>
      <c r="G23" s="1">
        <v>21555</v>
      </c>
      <c r="H23" s="1">
        <v>24221</v>
      </c>
      <c r="I23" s="1">
        <v>27217</v>
      </c>
    </row>
    <row r="24" spans="1:9" ht="13" x14ac:dyDescent="0.25">
      <c r="A24" s="1" t="s">
        <v>34</v>
      </c>
      <c r="B24" s="1" t="s">
        <v>30</v>
      </c>
      <c r="C24" s="1">
        <v>8738</v>
      </c>
      <c r="D24" s="1">
        <v>8865</v>
      </c>
      <c r="E24" s="1">
        <v>8804</v>
      </c>
      <c r="F24" s="1">
        <v>8674</v>
      </c>
      <c r="G24" s="1">
        <v>8622</v>
      </c>
      <c r="H24" s="1">
        <v>8773</v>
      </c>
      <c r="I24" s="1">
        <v>8927</v>
      </c>
    </row>
    <row r="25" spans="1:9" ht="13" x14ac:dyDescent="0.25">
      <c r="A25" s="1" t="s">
        <v>35</v>
      </c>
      <c r="B25" s="1" t="s">
        <v>30</v>
      </c>
      <c r="C25" s="1">
        <v>40793</v>
      </c>
      <c r="D25" s="1">
        <v>46458</v>
      </c>
      <c r="E25" s="1">
        <v>54151</v>
      </c>
      <c r="F25" s="1">
        <v>60135</v>
      </c>
      <c r="G25" s="1">
        <v>69426</v>
      </c>
      <c r="H25" s="1">
        <v>76761</v>
      </c>
      <c r="I25" s="1">
        <v>84731</v>
      </c>
    </row>
    <row r="26" spans="1:9" ht="13" x14ac:dyDescent="0.25">
      <c r="A26" s="1" t="s">
        <v>36</v>
      </c>
      <c r="B26" s="1" t="s">
        <v>37</v>
      </c>
      <c r="C26" s="1">
        <v>8404</v>
      </c>
      <c r="D26" s="1">
        <v>10101</v>
      </c>
      <c r="E26" s="1">
        <v>10954</v>
      </c>
      <c r="F26" s="1">
        <v>12122</v>
      </c>
      <c r="G26" s="1">
        <v>13537</v>
      </c>
      <c r="H26" s="1">
        <v>18929</v>
      </c>
      <c r="I26" s="1">
        <v>22012</v>
      </c>
    </row>
    <row r="27" spans="1:9" ht="13" x14ac:dyDescent="0.25">
      <c r="A27" s="1" t="s">
        <v>38</v>
      </c>
      <c r="B27" s="1" t="s">
        <v>37</v>
      </c>
      <c r="C27" s="1">
        <v>13409</v>
      </c>
      <c r="D27" s="1">
        <v>17518</v>
      </c>
      <c r="E27" s="1">
        <v>22239</v>
      </c>
      <c r="F27" s="1">
        <v>27905</v>
      </c>
      <c r="G27" s="1">
        <v>32903</v>
      </c>
      <c r="H27" s="1">
        <v>35414</v>
      </c>
      <c r="I27" s="1">
        <v>44838</v>
      </c>
    </row>
    <row r="28" spans="1:9" ht="13" x14ac:dyDescent="0.25">
      <c r="A28" s="1" t="s">
        <v>39</v>
      </c>
      <c r="B28" s="1" t="s">
        <v>37</v>
      </c>
      <c r="C28" s="1">
        <v>15462</v>
      </c>
      <c r="D28" s="1">
        <v>17362</v>
      </c>
      <c r="E28" s="1">
        <v>22818</v>
      </c>
      <c r="F28" s="1">
        <v>29309</v>
      </c>
      <c r="G28" s="1">
        <v>36300</v>
      </c>
      <c r="H28" s="1">
        <v>38033</v>
      </c>
      <c r="I28" s="1">
        <v>43156</v>
      </c>
    </row>
    <row r="29" spans="1:9" ht="13" x14ac:dyDescent="0.25">
      <c r="A29" s="1" t="s">
        <v>40</v>
      </c>
      <c r="B29" s="1" t="s">
        <v>37</v>
      </c>
      <c r="C29" s="1">
        <v>17067</v>
      </c>
      <c r="D29" s="1">
        <v>19773</v>
      </c>
      <c r="E29" s="1">
        <v>24001</v>
      </c>
      <c r="F29" s="1">
        <v>27186</v>
      </c>
      <c r="G29" s="1">
        <v>29784</v>
      </c>
      <c r="H29" s="1">
        <v>33813</v>
      </c>
      <c r="I29" s="1">
        <v>38008</v>
      </c>
    </row>
    <row r="30" spans="1:9" ht="13" x14ac:dyDescent="0.25">
      <c r="A30" s="1" t="s">
        <v>41</v>
      </c>
      <c r="B30" s="1" t="s">
        <v>37</v>
      </c>
      <c r="C30" s="1">
        <v>10832</v>
      </c>
      <c r="D30" s="1">
        <v>12054</v>
      </c>
      <c r="E30" s="1">
        <v>13801</v>
      </c>
      <c r="F30" s="1">
        <v>15747</v>
      </c>
      <c r="G30" s="1">
        <v>18446</v>
      </c>
      <c r="H30" s="1">
        <v>22296</v>
      </c>
      <c r="I30" s="1">
        <v>26408</v>
      </c>
    </row>
    <row r="31" spans="1:9" ht="13" x14ac:dyDescent="0.25">
      <c r="A31" s="1" t="s">
        <v>42</v>
      </c>
      <c r="B31" s="1" t="s">
        <v>42</v>
      </c>
      <c r="C31" s="1">
        <v>95560</v>
      </c>
      <c r="D31" s="1">
        <v>105244</v>
      </c>
      <c r="E31" s="1">
        <v>115900</v>
      </c>
      <c r="F31" s="1">
        <v>127648</v>
      </c>
      <c r="G31" s="1">
        <v>140595</v>
      </c>
      <c r="H31" s="1">
        <v>154872</v>
      </c>
      <c r="I31" s="1">
        <v>170599</v>
      </c>
    </row>
    <row r="32" spans="1:9" ht="13" x14ac:dyDescent="0.25">
      <c r="A32" s="1" t="s">
        <v>43</v>
      </c>
      <c r="B32" s="1" t="s">
        <v>44</v>
      </c>
      <c r="C32" s="1">
        <v>35995</v>
      </c>
      <c r="D32" s="1">
        <v>33075</v>
      </c>
      <c r="E32" s="1">
        <v>38915</v>
      </c>
      <c r="F32" s="1">
        <v>42151</v>
      </c>
      <c r="G32" s="1">
        <v>46189</v>
      </c>
      <c r="H32" s="1">
        <v>60306</v>
      </c>
      <c r="I32" s="1">
        <v>79441</v>
      </c>
    </row>
    <row r="33" spans="1:9" ht="13" x14ac:dyDescent="0.25">
      <c r="A33" s="1" t="s">
        <v>45</v>
      </c>
      <c r="B33" s="1" t="s">
        <v>44</v>
      </c>
      <c r="C33" s="1">
        <v>124528</v>
      </c>
      <c r="D33" s="1">
        <v>143977</v>
      </c>
      <c r="E33" s="1">
        <v>164738</v>
      </c>
      <c r="F33" s="1">
        <v>169507</v>
      </c>
      <c r="G33" s="1">
        <v>189508</v>
      </c>
      <c r="H33" s="1">
        <v>194413</v>
      </c>
      <c r="I33" s="1">
        <v>236681</v>
      </c>
    </row>
    <row r="34" spans="1:9" ht="13" x14ac:dyDescent="0.25">
      <c r="A34" s="1" t="s">
        <v>46</v>
      </c>
      <c r="B34" s="1" t="s">
        <v>44</v>
      </c>
      <c r="C34" s="1">
        <v>180040</v>
      </c>
      <c r="D34" s="1">
        <v>197637</v>
      </c>
      <c r="E34" s="1">
        <v>225082</v>
      </c>
      <c r="F34" s="1">
        <v>247159</v>
      </c>
      <c r="G34" s="1">
        <v>276053</v>
      </c>
      <c r="H34" s="1">
        <v>307516</v>
      </c>
      <c r="I34" s="1">
        <v>357111</v>
      </c>
    </row>
    <row r="35" spans="1:9" ht="13" x14ac:dyDescent="0.25">
      <c r="A35" s="1" t="s">
        <v>47</v>
      </c>
      <c r="B35" s="1" t="s">
        <v>44</v>
      </c>
      <c r="C35" s="1">
        <v>31237</v>
      </c>
      <c r="D35" s="1">
        <v>36925</v>
      </c>
      <c r="E35" s="1">
        <v>43656</v>
      </c>
      <c r="F35" s="1">
        <v>50806</v>
      </c>
      <c r="G35" s="1">
        <v>58341</v>
      </c>
      <c r="H35" s="1">
        <v>68016</v>
      </c>
      <c r="I35" s="1">
        <v>74508</v>
      </c>
    </row>
    <row r="36" spans="1:9" ht="13" x14ac:dyDescent="0.25">
      <c r="A36" s="1" t="s">
        <v>48</v>
      </c>
      <c r="B36" s="1" t="s">
        <v>49</v>
      </c>
      <c r="C36" s="1">
        <v>22522</v>
      </c>
      <c r="D36" s="1">
        <v>27292</v>
      </c>
      <c r="E36" s="1">
        <v>31994</v>
      </c>
      <c r="F36" s="1">
        <v>38338</v>
      </c>
      <c r="G36" s="1">
        <v>44277</v>
      </c>
      <c r="H36" s="1">
        <v>48934</v>
      </c>
      <c r="I36" s="1">
        <v>55582</v>
      </c>
    </row>
    <row r="37" spans="1:9" ht="13" x14ac:dyDescent="0.25">
      <c r="A37" s="1" t="s">
        <v>50</v>
      </c>
      <c r="B37" s="1" t="s">
        <v>49</v>
      </c>
      <c r="C37" s="1">
        <v>2136</v>
      </c>
      <c r="D37" s="1">
        <v>1419</v>
      </c>
      <c r="E37" s="1">
        <v>1567</v>
      </c>
      <c r="F37" s="1">
        <v>1766</v>
      </c>
      <c r="G37" s="1">
        <v>2215</v>
      </c>
      <c r="H37" s="1">
        <v>2124</v>
      </c>
      <c r="I37" s="1">
        <v>2627</v>
      </c>
    </row>
    <row r="38" spans="1:9" ht="13" x14ac:dyDescent="0.25">
      <c r="A38" s="1" t="s">
        <v>51</v>
      </c>
      <c r="B38" s="1" t="s">
        <v>49</v>
      </c>
      <c r="C38" s="1">
        <v>32555</v>
      </c>
      <c r="D38" s="1">
        <v>36762</v>
      </c>
      <c r="E38" s="1">
        <v>40798</v>
      </c>
      <c r="F38" s="1">
        <v>44539</v>
      </c>
      <c r="G38" s="1">
        <v>48624</v>
      </c>
      <c r="H38" s="1">
        <v>53088</v>
      </c>
      <c r="I38" s="1">
        <v>57963</v>
      </c>
    </row>
    <row r="39" spans="1:9" ht="13" x14ac:dyDescent="0.25">
      <c r="A39" s="1" t="s">
        <v>52</v>
      </c>
      <c r="B39" s="1" t="s">
        <v>53</v>
      </c>
      <c r="C39" s="1">
        <v>52082</v>
      </c>
      <c r="D39" s="1">
        <v>60506</v>
      </c>
      <c r="E39" s="1">
        <v>70539</v>
      </c>
      <c r="F39" s="1">
        <v>82047</v>
      </c>
      <c r="G39" s="1">
        <v>98144</v>
      </c>
      <c r="H39" s="1">
        <v>121937</v>
      </c>
      <c r="I39" s="1">
        <v>148724</v>
      </c>
    </row>
    <row r="40" spans="1:9" ht="13" x14ac:dyDescent="0.25">
      <c r="A40" s="1" t="s">
        <v>54</v>
      </c>
      <c r="B40" s="1" t="s">
        <v>53</v>
      </c>
      <c r="C40" s="1">
        <v>30445</v>
      </c>
      <c r="D40" s="1">
        <v>35587</v>
      </c>
      <c r="E40" s="1">
        <v>41438</v>
      </c>
      <c r="F40" s="1">
        <v>47269</v>
      </c>
      <c r="G40" s="1">
        <v>57653</v>
      </c>
      <c r="H40" s="1">
        <v>70112</v>
      </c>
      <c r="I40" s="1">
        <v>73890</v>
      </c>
    </row>
    <row r="41" spans="1:9" ht="13" x14ac:dyDescent="0.25">
      <c r="A41" s="1" t="s">
        <v>55</v>
      </c>
      <c r="B41" s="1" t="s">
        <v>53</v>
      </c>
      <c r="C41" s="1">
        <v>89555</v>
      </c>
      <c r="D41" s="1">
        <v>105768</v>
      </c>
      <c r="E41" s="1">
        <v>144643</v>
      </c>
      <c r="F41" s="1">
        <v>213236</v>
      </c>
      <c r="G41" s="1">
        <v>289983</v>
      </c>
      <c r="H41" s="1">
        <v>355869</v>
      </c>
      <c r="I41" s="1">
        <v>440503</v>
      </c>
    </row>
    <row r="42" spans="1:9" ht="13" x14ac:dyDescent="0.25">
      <c r="A42" s="1" t="s">
        <v>56</v>
      </c>
      <c r="B42" s="1" t="s">
        <v>57</v>
      </c>
      <c r="C42" s="1">
        <v>1925592</v>
      </c>
      <c r="D42" s="1">
        <v>2159537</v>
      </c>
      <c r="E42" s="1">
        <v>2488688</v>
      </c>
      <c r="F42" s="1">
        <v>2850394</v>
      </c>
      <c r="G42" s="1">
        <v>3257945</v>
      </c>
      <c r="H42" s="1">
        <v>3722036</v>
      </c>
      <c r="I42" s="1">
        <v>4359792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02983-E84D-459B-A772-0006ED620F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Spending Analysis</vt:lpstr>
      <vt:lpstr>Spending Pivots</vt:lpstr>
      <vt:lpstr>Consumption Detail</vt:lpstr>
      <vt:lpstr>Consumption Source</vt:lpstr>
    </vt:vector>
  </TitlesOfParts>
  <Company>CSO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Sadiq Mohammed</cp:lastModifiedBy>
  <cp:lastPrinted>2011-12-08T10:51:39Z</cp:lastPrinted>
  <dcterms:created xsi:type="dcterms:W3CDTF">1997-09-21T08:47:46Z</dcterms:created>
  <dcterms:modified xsi:type="dcterms:W3CDTF">2026-09-05T16:30:35Z</dcterms:modified>
</cp:coreProperties>
</file>